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IMN\Downloads\4-hour-course-xl-files\"/>
    </mc:Choice>
  </mc:AlternateContent>
  <xr:revisionPtr revIDLastSave="0" documentId="13_ncr:1_{35875E0F-3F17-4105-93E5-05D96E179A6E}" xr6:coauthVersionLast="47" xr6:coauthVersionMax="47" xr10:uidLastSave="{00000000-0000-0000-0000-000000000000}"/>
  <workbookProtection workbookAlgorithmName="SHA-512" workbookHashValue="gZ0TbXFiPmm+yXLbjhHzWfjOMYoFOV+XFyF82GdifSEt3h6JTtsS+7+pf5UGsj6G1IqE0HCVyeoCQCU/pacUjw==" workbookSaltValue="fPQxqRbadgwuPnBMqFe37Q==" workbookSpinCount="100000" lockStructure="1"/>
  <bookViews>
    <workbookView xWindow="-110" yWindow="-110" windowWidth="19420" windowHeight="10300" xr2:uid="{26D4546B-D2A1-4444-8EAF-A6228F96F0C1}"/>
  </bookViews>
  <sheets>
    <sheet name="Dashboard" sheetId="5" r:id="rId1"/>
    <sheet name="Pivots" sheetId="6" state="hidden" r:id="rId2"/>
    <sheet name="Data" sheetId="2" r:id="rId3"/>
  </sheets>
  <definedNames>
    <definedName name="_xlnm._FilterDatabase" localSheetId="2"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4"/>
    <pivotCache cacheId="1" r:id="rId5"/>
    <pivotCache cacheId="2" r:id="rId6"/>
    <pivotCache cacheId="3" r:id="rId7"/>
    <pivotCache cacheId="42" r:id="rId8"/>
    <pivotCache cacheId="45" r:id="rId9"/>
    <pivotCache cacheId="48" r:id="rId10"/>
    <pivotCache cacheId="51" r:id="rId11"/>
    <pivotCache cacheId="54"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5" i="6" l="1"/>
  <c r="I58" i="6" s="1"/>
  <c r="L54" i="6" s="1"/>
  <c r="H10" i="5" s="1"/>
  <c r="I54" i="6"/>
  <c r="I57" i="6" s="1"/>
  <c r="L53" i="6" s="1"/>
  <c r="H7" i="5" s="1"/>
  <c r="I53" i="6"/>
  <c r="L52" i="6" s="1"/>
  <c r="S13" i="5" a="1"/>
  <c r="S13" i="5" s="1"/>
  <c r="R14" i="5" a="1"/>
  <c r="R14" i="5" s="1"/>
  <c r="K39" i="6"/>
  <c r="XFD1048576" i="2"/>
  <c r="H43" i="6" a="1"/>
  <c r="H43"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3" i="5" l="1"/>
  <c r="K44" i="6"/>
  <c r="L43" i="6"/>
  <c r="L47" i="6"/>
  <c r="L46" i="6"/>
  <c r="L45" i="6"/>
  <c r="L44" i="6"/>
  <c r="K43" i="6"/>
  <c r="K46" i="6"/>
  <c r="K45" i="6"/>
  <c r="K4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2531D3-216B-4798-A86F-83DC7B7A7D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A65AF0-1587-4438-B12B-2C5E62B0C545}"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D12E65E8-4575-493D-B440-92499393924C}"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<sst xmlns="http://schemas.openxmlformats.org/spreadsheetml/2006/main" count="3166" uniqueCount="1084">
  <si>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</si>
  <si>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</si>
  <si>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</si>
  <si>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</si>
  <si>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</si>
  <si>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</si>
  <si>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</si>
  <si>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</si>
  <si>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</si>
  <si>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</si>
  <si>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</si>
  <si>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</si>
  <si>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</si>
  <si>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</si>
  <si>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</si>
  <si>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</si>
  <si>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</si>
  <si>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</si>
  <si>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</si>
  <si>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</si>
  <si>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</si>
  <si>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</si>
  <si>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</si>
  <si>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</si>
  <si>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</si>
  <si>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</si>
  <si>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</si>
  <si>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</si>
  <si>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</si>
  <si>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</si>
  <si>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</si>
  <si>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</si>
  <si>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</si>
  <si>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</si>
  <si>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</si>
  <si>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</si>
  <si>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</si>
  <si>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</si>
  <si>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</si>
  <si>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</si>
  <si>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</si>
  <si>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</si>
  <si>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</si>
  <si>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</si>
  <si>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</si>
  <si>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</si>
  <si>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</si>
  <si>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</si>
  <si>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</si>
  <si>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</si>
  <si>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</si>
  <si>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</si>
  <si>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</si>
  <si>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</si>
  <si>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</si>
  <si>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</si>
  <si>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</si>
  <si>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</si>
  <si>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</si>
  <si>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</si>
  <si>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</si>
  <si>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</si>
  <si>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</si>
  <si>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</si>
  <si>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</si>
  <si>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</si>
  <si>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</si>
  <si>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</si>
  <si>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</si>
  <si>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</si>
  <si>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</si>
  <si>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</si>
  <si>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</si>
  <si>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</si>
  <si>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</si>
  <si>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</si>
  <si>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</si>
  <si>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</si>
  <si>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</si>
  <si>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</si>
  <si>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</si>
  <si>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</si>
  <si>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</si>
  <si>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</si>
  <si>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</si>
  <si>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</si>
  <si>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</si>
  <si>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</si>
  <si>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</si>
  <si>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</si>
  <si>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</si>
  <si>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</si>
  <si>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</si>
  <si>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</si>
  <si>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</si>
  <si>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</si>
  <si>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</si>
  <si>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</si>
  <si>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</si>
  <si>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</si>
  <si>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</si>
  <si>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</si>
  <si>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</si>
  <si>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</si>
  <si>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</si>
  <si>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</si>
  <si>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</si>
  <si>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</si>
  <si>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</si>
  <si>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</si>
  <si>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</si>
  <si>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</si>
  <si>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</si>
  <si>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</si>
  <si>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</si>
  <si>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</si>
  <si>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</si>
  <si>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</si>
  <si>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</si>
  <si>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</si>
  <si>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</si>
  <si>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</si>
  <si>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</si>
  <si>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</si>
  <si>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</si>
  <si>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</si>
  <si>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</si>
  <si>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</si>
  <si>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</si>
  <si>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</si>
  <si>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</si>
  <si>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</si>
  <si>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</si>
  <si>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</si>
  <si>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</si>
  <si>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</si>
  <si>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</si>
  <si>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</si>
  <si>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</si>
  <si>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</si>
  <si>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</si>
  <si>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</si>
  <si>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</si>
  <si>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</si>
  <si>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</si>
  <si>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</si>
  <si>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</si>
  <si>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</si>
  <si>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</si>
  <si>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</si>
  <si>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</si>
  <si>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</si>
  <si>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</si>
  <si>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</si>
  <si>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</si>
  <si>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</si>
  <si>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</si>
  <si>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</si>
  <si>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</si>
  <si>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</si>
  <si>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</si>
  <si>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</si>
  <si>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</si>
  <si>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</si>
  <si>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</si>
  <si>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</si>
  <si>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</si>
  <si>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</si>
  <si>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</si>
  <si>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</si>
  <si>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</si>
  <si>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</si>
  <si>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</si>
  <si>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</si>
  <si>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</si>
  <si>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</si>
  <si>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</si>
  <si>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</si>
  <si>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</si>
  <si>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</si>
  <si>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</si>
  <si>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</si>
  <si>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</si>
  <si>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</si>
  <si>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</si>
  <si>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</si>
  <si>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</si>
  <si>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</si>
  <si>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</si>
  <si>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</si>
  <si>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</si>
  <si>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</si>
  <si>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</si>
  <si>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</si>
  <si>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</si>
  <si>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</si>
  <si>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</si>
  <si>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</si>
  <si>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</si>
  <si>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</si>
  <si>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</si>
  <si>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</si>
  <si>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</si>
  <si>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</si>
  <si>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</si>
  <si>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</si>
  <si>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</si>
  <si>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</si>
  <si>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</si>
  <si>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</si>
  <si>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</si>
  <si>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</si>
  <si>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</si>
  <si>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</si>
  <si>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</si>
  <si>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</si>
  <si>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</si>
  <si>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</si>
  <si>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</si>
  <si>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</si>
  <si>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</si>
  <si>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</si>
  <si>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</si>
  <si>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</si>
  <si>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</si>
  <si>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</si>
  <si>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</si>
  <si>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</si>
  <si>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</si>
  <si>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</si>
  <si>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</si>
  <si>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</si>
  <si>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</si>
  <si>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</si>
  <si>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</si>
  <si>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</si>
  <si>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</si>
  <si>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</si>
  <si>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</si>
  <si>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</si>
  <si>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</si>
  <si>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</si>
  <si>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</si>
  <si>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</si>
  <si>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</si>
  <si>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</si>
  <si>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</si>
  <si>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</si>
  <si>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</si>
  <si>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</si>
  <si>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</si>
  <si>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</si>
  <si>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</si>
  <si>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</si>
  <si>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</si>
  <si>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</si>
  <si>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</si>
  <si>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</si>
  <si>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</si>
  <si>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</si>
  <si>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</si>
  <si>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</si>
  <si>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</si>
  <si>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</si>
  <si>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</si>
  <si>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</si>
  <si>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</si>
  <si>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</si>
  <si>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</si>
  <si>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</si>
  <si>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</si>
  <si>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</si>
  <si>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</si>
  <si>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</si>
  <si>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</si>
  <si>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</si>
  <si>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</si>
  <si>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</si>
  <si>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</si>
  <si>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</si>
  <si>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</si>
  <si>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</si>
  <si>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</si>
  <si>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</si>
  <si>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</si>
  <si>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</si>
  <si>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</si>
  <si>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</si>
  <si>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</si>
  <si>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</si>
  <si>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</si>
  <si>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</si>
  <si>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</si>
  <si>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</si>
  <si>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</si>
  <si>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</si>
  <si>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</si>
  <si>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</si>
  <si>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</si>
  <si>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</si>
  <si>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</si>
  <si>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</si>
  <si>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</si>
  <si>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</si>
  <si>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</si>
  <si>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</si>
  <si>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</si>
  <si>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</si>
  <si>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</si>
  <si>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</si>
  <si>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</si>
  <si>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</si>
  <si>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</si>
  <si>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</si>
  <si>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</si>
  <si>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</si>
  <si>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</si>
  <si>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</si>
  <si>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</si>
  <si>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</si>
  <si>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</si>
  <si>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</si>
  <si>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</si>
  <si>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</si>
  <si>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</si>
  <si>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</si>
  <si>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</si>
  <si>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</si>
  <si>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</si>
  <si>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</si>
  <si>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</si>
  <si>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</si>
  <si>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</si>
  <si>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</si>
  <si>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</si>
  <si>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</si>
  <si>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</si>
  <si>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</si>
  <si>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</si>
  <si>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</si>
  <si>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</si>
  <si>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</si>
  <si>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</si>
  <si>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</si>
  <si>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</si>
  <si>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</si>
  <si>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</si>
  <si>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</si>
  <si>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</si>
  <si>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</si>
  <si>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</si>
  <si>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</si>
  <si>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</si>
  <si>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</si>
  <si>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</si>
  <si>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</si>
  <si>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</si>
  <si>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</si>
  <si>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</si>
  <si>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</si>
  <si>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</si>
  <si>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</si>
  <si>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</si>
  <si>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</si>
  <si>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</si>
  <si>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</si>
  <si>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</si>
  <si>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</si>
  <si>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</si>
  <si>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</si>
  <si>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</si>
  <si>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</si>
  <si>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</si>
  <si>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</si>
  <si>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</si>
  <si>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</si>
  <si>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</si>
  <si>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</si>
  <si>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</si>
  <si>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</si>
  <si>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</si>
  <si>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</si>
  <si>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</si>
  <si>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</si>
  <si>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</si>
  <si>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</si>
  <si>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</si>
  <si>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</si>
  <si>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</si>
  <si>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</si>
  <si>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</si>
  <si>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</si>
  <si>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</si>
  <si>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</si>
  <si>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</si>
  <si>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</si>
  <si>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</si>
  <si>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</si>
  <si>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</si>
  <si>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</si>
  <si>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</si>
  <si>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</si>
  <si>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</si>
  <si>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</si>
  <si>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</si>
  <si>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</si>
  <si>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</si>
  <si>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</si>
  <si>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</si>
  <si>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</si>
  <si>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</si>
  <si>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</si>
  <si>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</si>
  <si>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</si>
  <si>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</si>
  <si>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</si>
  <si>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</si>
  <si>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</si>
  <si>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</si>
  <si>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</si>
  <si>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</si>
  <si>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</si>
  <si>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</si>
  <si>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</si>
  <si>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</si>
  <si>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</si>
  <si>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</si>
  <si>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</si>
  <si>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</si>
  <si>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</si>
  <si>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</si>
  <si>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</si>
  <si>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</si>
  <si>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</si>
  <si>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</si>
  <si>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</si>
  <si>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</si>
  <si>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</si>
  <si>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</si>
  <si>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</si>
  <si>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</si>
  <si>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</si>
  <si>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</si>
  <si>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</si>
  <si>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</si>
  <si>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</si>
  <si>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</si>
  <si>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</si>
  <si>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</si>
  <si>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</si>
  <si>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</si>
  <si>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</si>
  <si>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</si>
  <si>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</si>
  <si>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</si>
  <si>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</si>
  <si>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</si>
  <si>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</si>
  <si>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</si>
  <si>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</si>
  <si>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</si>
  <si>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</si>
  <si>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</si>
  <si>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</si>
  <si>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</si>
  <si>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</si>
  <si>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</si>
  <si>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</si>
  <si>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</si>
  <si>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</si>
  <si>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</si>
  <si>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</si>
  <si>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</si>
  <si>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</si>
  <si>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</si>
  <si>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</si>
  <si>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</si>
  <si>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</si>
  <si>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</si>
  <si>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</si>
  <si>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</si>
  <si>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</si>
  <si>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</si>
  <si>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</si>
  <si>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</si>
  <si>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</si>
  <si>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</si>
  <si>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</si>
  <si>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</si>
  <si>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</si>
  <si>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</si>
  <si>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</si>
  <si>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</si>
  <si>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</si>
  <si>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</si>
  <si>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</si>
  <si>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</si>
  <si>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</si>
  <si>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</si>
  <si>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</si>
  <si>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</si>
  <si>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</si>
  <si>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</si>
  <si>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</si>
  <si>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</si>
  <si>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</si>
  <si>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</si>
  <si>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</si>
  <si>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</si>
  <si>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</si>
  <si>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</si>
  <si>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</si>
  <si>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</si>
  <si>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</si>
  <si>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</si>
  <si>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</si>
  <si>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</si>
  <si>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</si>
  <si>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</si>
  <si>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</si>
  <si>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</si>
  <si>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</si>
  <si>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</si>
  <si>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</si>
  <si>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</si>
  <si>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</si>
  <si>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</si>
  <si>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</si>
  <si>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</si>
  <si>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</si>
  <si>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</si>
  <si>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</si>
  <si>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</si>
  <si>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</si>
  <si>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</si>
  <si>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</si>
  <si>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</si>
  <si>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</si>
  <si>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</si>
  <si>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</si>
  <si>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</si>
  <si>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</si>
  <si>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</si>
  <si>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</si>
  <si>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</si>
  <si>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</si>
  <si>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</si>
  <si>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</si>
  <si>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</si>
  <si>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</si>
  <si>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</si>
  <si>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</si>
  <si>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</si>
  <si>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</si>
  <si>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</si>
  <si>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</si>
  <si>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</si>
  <si>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</si>
  <si>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</si>
  <si>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</si>
  <si>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</si>
  <si>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</si>
  <si>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</si>
  <si>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</si>
  <si>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</si>
  <si>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</si>
  <si>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</si>
  <si>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</si>
  <si>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</si>
  <si>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</si>
  <si>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</si>
  <si>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</si>
  <si>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</si>
  <si>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</si>
  <si>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</si>
  <si>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</si>
  <si>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</si>
  <si>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</si>
  <si>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</si>
  <si>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</si>
  <si>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</si>
  <si>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</si>
  <si>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</si>
  <si>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</si>
  <si>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</si>
  <si>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</si>
  <si>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</si>
  <si>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</si>
  <si>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</si>
  <si>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</si>
  <si>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</si>
  <si>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</si>
  <si>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</si>
  <si>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</si>
  <si>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</si>
  <si>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</si>
  <si>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</si>
  <si>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</si>
  <si>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</si>
  <si>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</si>
  <si>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</si>
  <si>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</si>
  <si>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</si>
  <si>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</si>
  <si>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</si>
  <si>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</si>
  <si>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</si>
  <si>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</si>
  <si>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</si>
  <si>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</si>
  <si>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</si>
  <si>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</si>
  <si>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</si>
  <si>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</si>
  <si>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</si>
  <si>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</si>
  <si>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</si>
  <si>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</si>
  <si>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</si>
  <si>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</si>
  <si>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</si>
  <si>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</si>
  <si>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</si>
  <si>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</si>
  <si>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</si>
  <si>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</si>
  <si>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</si>
  <si>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</si>
  <si>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</si>
  <si>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</si>
  <si>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</si>
  <si>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</si>
  <si>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</si>
  <si>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</si>
  <si>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</si>
  <si>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</si>
  <si>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</si>
  <si>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</si>
  <si>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</si>
  <si>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</si>
  <si>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</si>
  <si>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</si>
  <si>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</si>
  <si>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</si>
  <si>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</si>
  <si>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</si>
  <si>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</si>
  <si>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</si>
  <si>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</si>
  <si>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</si>
  <si>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</si>
  <si>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</si>
  <si>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</si>
  <si>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</si>
  <si>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</si>
  <si>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</si>
  <si>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</si>
  <si>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</si>
  <si>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</si>
  <si>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</si>
  <si>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</si>
  <si>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</si>
  <si>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</si>
  <si>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</si>
  <si>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</si>
  <si>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</si>
  <si>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</si>
  <si>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</si>
  <si>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</si>
  <si>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</si>
  <si>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</si>
  <si>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</si>
  <si>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</si>
  <si>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</si>
  <si>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</si>
  <si>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</si>
  <si>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</si>
  <si>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</si>
  <si>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</si>
  <si>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</si>
  <si>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</si>
  <si>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</si>
  <si>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</si>
  <si>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</si>
  <si>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</si>
  <si>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</si>
  <si>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</si>
  <si>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</si>
  <si>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</si>
  <si>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</si>
  <si>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</si>
  <si>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</si>
  <si>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</si>
  <si>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</si>
  <si>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</si>
  <si>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</si>
  <si>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</si>
  <si>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</si>
  <si>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</si>
  <si>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</si>
  <si>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</si>
  <si>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</si>
  <si>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</si>
  <si>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</si>
  <si>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</si>
  <si>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</si>
  <si>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</si>
  <si>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</si>
  <si>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</si>
  <si>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</si>
  <si>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</si>
  <si>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</si>
  <si>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</si>
  <si>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</si>
  <si>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</si>
  <si>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</si>
  <si>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</si>
  <si>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</si>
  <si>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</si>
  <si>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</si>
  <si>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</si>
  <si>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</si>
  <si>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</si>
  <si>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</si>
  <si>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</si>
  <si>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</si>
  <si>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</si>
  <si>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</si>
  <si>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</si>
  <si>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</si>
  <si>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</si>
  <si>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</si>
  <si>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</si>
  <si>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</si>
  <si>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</si>
  <si>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</si>
  <si>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</si>
  <si>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</si>
  <si>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</si>
  <si>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</si>
  <si>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</si>
  <si>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</si>
  <si>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</si>
  <si>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</si>
  <si>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</si>
  <si>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</si>
  <si>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</si>
  <si>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</si>
  <si>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</si>
  <si>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</si>
  <si>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</si>
  <si>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</si>
  <si>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</si>
  <si>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</si>
  <si>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</si>
  <si>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</si>
  <si>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</si>
  <si>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</si>
  <si>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</si>
  <si>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</si>
  <si>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</si>
  <si>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</si>
  <si>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</si>
  <si>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</si>
  <si>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</si>
  <si>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</si>
  <si>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</si>
  <si>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</si>
  <si>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</si>
  <si>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</si>
  <si>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</si>
  <si>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</si>
  <si>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</si>
  <si>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</si>
  <si>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</si>
  <si>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</si>
  <si>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</si>
  <si>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</si>
  <si>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</si>
  <si>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</si>
  <si>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</si>
  <si>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</si>
  <si>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</si>
  <si>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</si>
  <si>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</si>
  <si>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</si>
  <si>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</si>
  <si>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</si>
  <si>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</si>
  <si>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</si>
  <si>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</si>
  <si>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</si>
  <si>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</si>
  <si>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</si>
  <si>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</si>
  <si>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</si>
  <si>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</si>
  <si>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</si>
  <si>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</si>
  <si>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</si>
  <si>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</si>
  <si>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</si>
  <si>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</si>
  <si>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</si>
  <si>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</si>
  <si>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</si>
  <si>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</si>
  <si>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</si>
  <si>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</si>
  <si>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</si>
  <si>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</si>
  <si>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</si>
  <si>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</si>
  <si>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</si>
  <si>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</si>
  <si>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</si>
  <si>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</si>
  <si>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</si>
  <si>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</si>
  <si>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</si>
  <si>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</si>
  <si>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</si>
  <si>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</si>
  <si>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</si>
  <si>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</si>
  <si>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</si>
  <si>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</si>
  <si>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</si>
  <si>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</si>
  <si>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</si>
  <si>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</si>
  <si>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</si>
  <si>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</si>
  <si>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</si>
  <si>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</si>
  <si>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</si>
  <si>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</si>
  <si>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</si>
  <si>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</si>
  <si>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</si>
  <si>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</si>
  <si>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</si>
  <si>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</si>
  <si>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</si>
  <si>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</si>
  <si>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</si>
  <si>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</si>
  <si>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</si>
  <si>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</si>
  <si>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</si>
  <si>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</si>
  <si>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</si>
  <si>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</si>
  <si>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</si>
  <si>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</si>
  <si>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</si>
  <si>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</si>
  <si>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</si>
  <si>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</si>
  <si>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</si>
  <si>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</si>
  <si>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</si>
  <si>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</si>
  <si>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</si>
  <si>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</si>
  <si>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</si>
  <si>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</si>
  <si>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</si>
  <si>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</si>
  <si>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</si>
  <si>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</si>
  <si>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</si>
  <si>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</si>
  <si>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</si>
  <si>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</si>
  <si>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</si>
  <si>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</si>
  <si>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</si>
  <si>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</si>
  <si>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</si>
  <si>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</si>
  <si>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</si>
  <si>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</si>
  <si>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</si>
  <si>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</si>
  <si>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</si>
  <si>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</si>
  <si>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</si>
  <si>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</si>
  <si>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</si>
  <si>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</si>
  <si>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</si>
  <si>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</si>
  <si>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</si>
  <si>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</si>
  <si>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</si>
  <si>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</si>
  <si>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</si>
  <si>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</si>
  <si>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</si>
  <si>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</si>
  <si>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</si>
  <si>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</si>
  <si>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</si>
  <si>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</si>
  <si>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</si>
  <si>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</si>
  <si>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</si>
  <si>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</si>
  <si>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</si>
  <si>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</si>
  <si>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</si>
  <si>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</si>
  <si>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</si>
  <si>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</si>
  <si>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</si>
  <si>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</si>
  <si>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</si>
  <si>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</si>
  <si>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</si>
  <si>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</si>
  <si>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</si>
  <si>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</si>
  <si>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</si>
  <si>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</si>
  <si>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</si>
  <si>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</si>
  <si>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</si>
  <si>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</si>
  <si>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</si>
  <si>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</si>
  <si>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</si>
  <si>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</si>
  <si>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</si>
  <si>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</si>
  <si>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</si>
  <si>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</si>
  <si>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</si>
  <si>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</si>
  <si>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</si>
  <si>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</si>
  <si>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</si>
  <si>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</si>
  <si>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</si>
  <si>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</si>
  <si>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</si>
  <si>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</si>
  <si>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</si>
  <si>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</si>
  <si>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</si>
  <si>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</si>
  <si>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</si>
  <si>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</si>
  <si>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</si>
  <si>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</si>
  <si>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</si>
  <si>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</si>
  <si>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</si>
  <si>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</si>
  <si>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</si>
  <si>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</si>
  <si>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</si>
  <si>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</si>
  <si>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</si>
  <si>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</si>
  <si>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</si>
  <si>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</si>
  <si>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</si>
  <si>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</si>
  <si>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</si>
  <si>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</si>
  <si>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</si>
  <si>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</si>
  <si>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</si>
  <si>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</si>
  <si>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</si>
  <si>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</si>
  <si>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</si>
  <si>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</si>
  <si>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</si>
  <si>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</si>
  <si>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</si>
  <si>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</si>
  <si>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</si>
  <si>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</si>
  <si>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</si>
  <si>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</si>
  <si>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</si>
  <si>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</si>
  <si>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</si>
  <si>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</si>
  <si>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</si>
  <si>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</si>
  <si>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</si>
  <si>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</si>
  <si>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</si>
  <si>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</si>
  <si>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</si>
  <si>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</si>
  <si>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</si>
  <si>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</si>
  <si>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</si>
  <si>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</si>
  <si>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</si>
  <si>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</si>
  <si>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</si>
  <si>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</si>
  <si>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</si>
  <si>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</si>
  <si>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</si>
  <si>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</si>
  <si>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</si>
  <si>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</si>
  <si>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</si>
  <si>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</si>
  <si>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</si>
  <si>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</si>
  <si>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</si>
  <si>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</si>
  <si>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</si>
  <si>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</si>
  <si>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</si>
  <si>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</si>
  <si>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</si>
  <si>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</si>
  <si>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</si>
  <si>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</si>
  <si>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</si>
  <si>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</si>
  <si>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</si>
  <si>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</si>
  <si>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</si>
  <si>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</si>
  <si>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</si>
  <si>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</si>
  <si>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</si>
  <si>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</si>
  <si>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</si>
  <si>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</si>
  <si>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</si>
  <si>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</si>
  <si>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</si>
  <si>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</si>
  <si>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</si>
  <si>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</si>
  <si>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</si>
  <si>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</si>
  <si>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</si>
  <si>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</si>
  <si>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</si>
  <si>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</si>
  <si>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</si>
  <si>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</si>
  <si>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</si>
  <si>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</si>
  <si>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</si>
  <si>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</si>
  <si>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</si>
  <si>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</si>
  <si>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</si>
  <si>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</si>
  <si>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</si>
  <si>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</si>
  <si>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</si>
  <si>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</si>
  <si>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</si>
  <si>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</si>
  <si>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</si>
  <si>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</si>
  <si>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</si>
  <si>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</si>
  <si>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 xml:space="preserve">Selected  Calls </t>
  </si>
  <si>
    <t>Selected Amount</t>
  </si>
  <si>
    <t>Sewlected Rep</t>
  </si>
  <si>
    <t>Column Labels</t>
  </si>
  <si>
    <t>Total</t>
  </si>
  <si>
    <t>Rep Summary</t>
  </si>
  <si>
    <t>% of calls</t>
  </si>
  <si>
    <t>Call Rank</t>
  </si>
  <si>
    <t xml:space="preserve">Calls </t>
  </si>
  <si>
    <t>Amount Rank</t>
  </si>
  <si>
    <t xml:space="preserve">Lables: </t>
  </si>
  <si>
    <r>
      <rPr>
        <b/>
        <sz val="18"/>
        <color theme="1"/>
        <rFont val="Aptos ExtraBold"/>
        <family val="2"/>
        <scheme val="major"/>
      </rPr>
      <t xml:space="preserve">CALL CENTRE REPORT - 2023 </t>
    </r>
    <r>
      <rPr>
        <b/>
        <sz val="16"/>
        <color theme="1"/>
        <rFont val="Aptos ExtraBold"/>
        <family val="2"/>
        <scheme val="major"/>
      </rPr>
      <t>—</t>
    </r>
    <r>
      <rPr>
        <b/>
        <sz val="20"/>
        <color theme="1"/>
        <rFont val="Aptos ExtraBold"/>
        <family val="2"/>
        <scheme val="major"/>
      </rPr>
      <t xml:space="preserve"> </t>
    </r>
    <r>
      <rPr>
        <i/>
        <sz val="10"/>
        <color theme="1"/>
        <rFont val="Aptos"/>
        <family val="2"/>
        <scheme val="minor"/>
      </rPr>
      <t>Performance Analysis by Representative, Location &amp; Customer Satisfaction.</t>
    </r>
  </si>
  <si>
    <r>
      <t>“</t>
    </r>
    <r>
      <rPr>
        <b/>
        <sz val="11"/>
        <color theme="1"/>
        <rFont val="Aptos"/>
        <family val="2"/>
        <scheme val="minor"/>
      </rPr>
      <t>Note</t>
    </r>
    <r>
      <rPr>
        <sz val="11"/>
        <color theme="1"/>
        <rFont val="Aptos"/>
        <family val="2"/>
        <scheme val="minor"/>
      </rPr>
      <t>: Supporting pivot tables are hidden to keep this dashboard clean. All functionality remains intact.”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</si>
</sst>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quot;$&quot;#,###.0,&quot;k&quot;"/>
    <numFmt numFmtId="167" formatCode="&quot;$&quot;#,##0"/>
  </numFmts>
  <fonts count="1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11"/>
      <color theme="0"/>
      <name val="Aptos"/>
      <family val="2"/>
      <scheme val="minor"/>
    </font>
    <font>
      <b/>
      <sz val="12"/>
      <color theme="0"/>
      <name val="Aptos"/>
      <family val="2"/>
      <scheme val="minor"/>
    </font>
    <font>
      <b/>
      <sz val="28"/>
      <color theme="1"/>
      <name val="Aptos ExtraBold"/>
      <family val="2"/>
      <scheme val="major"/>
    </font>
    <font>
      <b/>
      <sz val="12"/>
      <color theme="8"/>
      <name val="Aptos ExtraBold"/>
      <family val="2"/>
      <scheme val="major"/>
    </font>
    <font>
      <b/>
      <sz val="20"/>
      <color theme="1"/>
      <name val="Aptos ExtraBold"/>
      <family val="2"/>
      <scheme val="major"/>
    </font>
    <font>
      <b/>
      <sz val="18"/>
      <color theme="1"/>
      <name val="Aptos ExtraBold"/>
      <family val="2"/>
      <scheme val="major"/>
    </font>
    <font>
      <b/>
      <sz val="16"/>
      <color theme="1"/>
      <name val="Aptos ExtraBold"/>
      <family val="2"/>
      <scheme val="major"/>
    </font>
    <font>
      <i/>
      <sz val="10"/>
      <color theme="1"/>
      <name val="Aptos"/>
      <family val="2"/>
      <scheme val="minor"/>
    </font>
    <font>
      <sz val="12"/>
      <color theme="1"/>
      <name val="Aptos ExtraBold"/>
      <family val="2"/>
      <scheme val="major"/>
    </font>
  </fonts>
  <fills count="8">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8" tint="-0.249977111117893"/>
        <bgColor indexed="64"/>
      </patternFill>
    </fill>
    <fill>
      <patternFill patternType="solid">
        <fgColor theme="0"/>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theme="0"/>
      </left>
      <right/>
      <top style="thick">
        <color theme="0"/>
      </top>
      <bottom/>
      <diagonal/>
    </border>
    <border>
      <left/>
      <right/>
      <top style="thick">
        <color theme="0"/>
      </top>
      <bottom/>
      <diagonal/>
    </border>
    <border>
      <left style="thick">
        <color theme="0"/>
      </left>
      <right/>
      <top/>
      <bottom/>
      <diagonal/>
    </border>
    <border>
      <left style="thick">
        <color theme="0"/>
      </left>
      <right/>
      <top/>
      <bottom style="thick">
        <color theme="0"/>
      </bottom>
      <diagonal/>
    </border>
    <border>
      <left/>
      <right/>
      <top/>
      <bottom style="thick">
        <color theme="0"/>
      </bottom>
      <diagonal/>
    </border>
    <border>
      <left style="medium">
        <color theme="0"/>
      </left>
      <right style="medium">
        <color theme="0"/>
      </right>
      <top style="medium">
        <color theme="0"/>
      </top>
      <bottom style="medium">
        <color theme="0"/>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4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4" borderId="0" xfId="0" applyFill="1" applyAlignment="1">
      <alignment horizontal="left"/>
    </xf>
    <xf numFmtId="0" fontId="0" fillId="0" borderId="0" xfId="0" applyAlignment="1">
      <alignment horizontal="left" indent="1"/>
    </xf>
    <xf numFmtId="0" fontId="1" fillId="3" borderId="12" xfId="0" applyFont="1" applyFill="1" applyBorder="1"/>
    <xf numFmtId="0" fontId="0" fillId="3" borderId="12" xfId="0" applyFill="1" applyBorder="1" applyAlignment="1">
      <alignment horizontal="left" indent="1"/>
    </xf>
    <xf numFmtId="167" fontId="0" fillId="3" borderId="0" xfId="0" applyNumberFormat="1" applyFill="1"/>
    <xf numFmtId="0" fontId="0" fillId="3" borderId="13" xfId="0" applyFill="1" applyBorder="1" applyAlignment="1">
      <alignment horizontal="left" indent="1"/>
    </xf>
    <xf numFmtId="167" fontId="0" fillId="3" borderId="14" xfId="0" applyNumberFormat="1" applyFill="1" applyBorder="1"/>
    <xf numFmtId="0" fontId="1" fillId="3" borderId="11" xfId="0" applyFont="1" applyFill="1" applyBorder="1"/>
    <xf numFmtId="9" fontId="0" fillId="0" borderId="0" xfId="1" applyFont="1"/>
    <xf numFmtId="0" fontId="5" fillId="5" borderId="15" xfId="0" applyFont="1" applyFill="1" applyBorder="1"/>
    <xf numFmtId="167" fontId="5" fillId="5" borderId="15" xfId="0" applyNumberFormat="1" applyFont="1" applyFill="1" applyBorder="1" applyAlignment="1">
      <alignment horizontal="center"/>
    </xf>
    <xf numFmtId="0" fontId="6" fillId="5" borderId="15" xfId="0" applyFont="1" applyFill="1" applyBorder="1" applyAlignment="1">
      <alignment horizontal="center"/>
    </xf>
    <xf numFmtId="0" fontId="13" fillId="3" borderId="10" xfId="0" applyFont="1" applyFill="1" applyBorder="1" applyAlignment="1">
      <alignment horizontal="center" vertical="center"/>
    </xf>
    <xf numFmtId="0" fontId="0" fillId="3" borderId="0" xfId="0" applyFill="1" applyAlignment="1">
      <alignment horizontal="center" vertical="center"/>
    </xf>
    <xf numFmtId="0" fontId="8" fillId="6" borderId="16"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7" fillId="3" borderId="19" xfId="0" applyFont="1" applyFill="1" applyBorder="1" applyAlignment="1">
      <alignment horizontal="center" vertical="center"/>
    </xf>
    <xf numFmtId="0" fontId="7" fillId="3" borderId="20" xfId="0" applyFont="1" applyFill="1" applyBorder="1" applyAlignment="1">
      <alignment horizontal="center" vertical="center"/>
    </xf>
    <xf numFmtId="0" fontId="0" fillId="7" borderId="0" xfId="0" applyFill="1"/>
  </cellXfs>
  <cellStyles count="2">
    <cellStyle name="Normal" xfId="0" builtinId="0"/>
    <cellStyle name="Percent" xfId="1" builtinId="5"/>
  </cellStyles>
  <dxfs count="22">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b val="0"/>
        <i val="0"/>
        <sz val="7.5"/>
        <color theme="8" tint="-0.24994659260841701"/>
        <name val="Aptos ExtraBold"/>
        <family val="2"/>
        <scheme val="major"/>
      </font>
      <border>
        <bottom style="thin">
          <color theme="8"/>
        </bottom>
        <vertical/>
        <horizontal/>
      </border>
    </dxf>
    <dxf>
      <font>
        <b/>
        <i val="0"/>
        <sz val="12"/>
        <color theme="1"/>
        <name val="Aptos"/>
        <family val="2"/>
        <scheme val="minor"/>
      </font>
      <fill>
        <patternFill>
          <bgColor theme="0"/>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5 9" pivot="0" table="0" count="10" xr9:uid="{DAAB00F1-E206-430E-AD9C-81E31CC939F2}">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9">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[Dashboard.xlsx]Pivots!Weekday Trend</c:name>
    <c:fmtId val="2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Pivots!$I$22</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Pivots!$H$23:$H$30</c:f>
              <c:strCache>
                <c:ptCount val="7"/>
                <c:pt idx="0">
                  <c:v>Sunday</c:v>
                </c:pt>
                <c:pt idx="1">
                  <c:v>Monday</c:v>
                </c:pt>
                <c:pt idx="2">
                  <c:v>Tuesday</c:v>
                </c:pt>
                <c:pt idx="3">
                  <c:v>Wednesday</c:v>
                </c:pt>
                <c:pt idx="4">
                  <c:v>Thursday</c:v>
                </c:pt>
                <c:pt idx="5">
                  <c:v>Friday</c:v>
                </c:pt>
                <c:pt idx="6">
                  <c:v>Saturday</c:v>
                </c:pt>
              </c:strCache>
            </c:strRef>
          </c:cat>
          <c:val>
            <c:numRef>
              <c:f>Pivots!$I$23:$I$30</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F439-4252-9D77-8E5FFCA5AD91}"/>
            </c:ext>
          </c:extLst>
        </c:ser>
        <c:dLbls>
          <c:showLegendKey val="0"/>
          <c:showVal val="0"/>
          <c:showCatName val="0"/>
          <c:showSerName val="0"/>
          <c:showPercent val="0"/>
          <c:showBubbleSize val="0"/>
        </c:dLbls>
        <c:gapWidth val="70"/>
        <c:gapDepth val="0"/>
        <c:shape val="box"/>
        <c:axId val="70893712"/>
        <c:axId val="70894192"/>
        <c:axId val="0"/>
      </c:bar3DChart>
      <c:catAx>
        <c:axId val="708937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94192"/>
        <c:crosses val="autoZero"/>
        <c:auto val="1"/>
        <c:lblAlgn val="ctr"/>
        <c:lblOffset val="100"/>
        <c:noMultiLvlLbl val="0"/>
      </c:catAx>
      <c:valAx>
        <c:axId val="70894192"/>
        <c:scaling>
          <c:orientation val="minMax"/>
        </c:scaling>
        <c:delete val="1"/>
        <c:axPos val="b"/>
        <c:numFmt formatCode="#,##0" sourceLinked="1"/>
        <c:majorTickMark val="out"/>
        <c:minorTickMark val="none"/>
        <c:tickLblPos val="nextTo"/>
        <c:crossAx val="7089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[Dashboard.xlsx]Pivots!Monthly Trend</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5"/>
                </a:solidFill>
                <a:latin typeface="+mj-lt"/>
              </a:rPr>
              <a:t>Call Trend</a:t>
            </a:r>
          </a:p>
        </c:rich>
      </c:tx>
      <c:layout>
        <c:manualLayout>
          <c:xMode val="edge"/>
          <c:yMode val="edge"/>
          <c:x val="2.6251173091151062E-2"/>
          <c:y val="3.55102714159091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40000"/>
                  <a:lumOff val="60000"/>
                </a:schemeClr>
              </a:gs>
              <a:gs pos="100000">
                <a:schemeClr val="accent5"/>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5">
                <a:lumMod val="75000"/>
              </a:schemeClr>
            </a:solidFill>
            <a:round/>
          </a:ln>
          <a:effectLst/>
        </c:spPr>
        <c:marker>
          <c:symbol val="circle"/>
          <c:size val="5"/>
          <c:spPr>
            <a:solidFill>
              <a:schemeClr val="bg1"/>
            </a:solidFill>
            <a:ln w="127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Pivots!$C$22</c:f>
              <c:strCache>
                <c:ptCount val="1"/>
                <c:pt idx="0">
                  <c:v>Call Count2</c:v>
                </c:pt>
              </c:strCache>
            </c:strRef>
          </c:tx>
          <c:spPr>
            <a:gradFill flip="none" rotWithShape="1">
              <a:gsLst>
                <a:gs pos="0">
                  <a:schemeClr val="accent5">
                    <a:lumMod val="40000"/>
                    <a:lumOff val="60000"/>
                  </a:schemeClr>
                </a:gs>
                <a:gs pos="100000">
                  <a:schemeClr val="accent5"/>
                </a:gs>
              </a:gsLst>
              <a:path path="rect">
                <a:fillToRect l="100000" t="100000"/>
              </a:path>
              <a:tileRect r="-100000" b="-100000"/>
            </a:gradFill>
            <a:ln>
              <a:noFill/>
            </a:ln>
            <a:effectLst/>
          </c:spP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Pivots!$C$23:$C$35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3254-440D-BD9C-FFE17B8F2047}"/>
            </c:ext>
          </c:extLst>
        </c:ser>
        <c:dLbls>
          <c:showLegendKey val="0"/>
          <c:showVal val="0"/>
          <c:showCatName val="0"/>
          <c:showSerName val="0"/>
          <c:showPercent val="0"/>
          <c:showBubbleSize val="0"/>
        </c:dLbls>
        <c:axId val="1395173808"/>
        <c:axId val="2074811952"/>
      </c:areaChart>
      <c:lineChart>
        <c:grouping val="standard"/>
        <c:varyColors val="0"/>
        <c:ser>
          <c:idx val="0"/>
          <c:order val="0"/>
          <c:tx>
            <c:strRef>
              <c:f>Pivots!$B$22</c:f>
              <c:strCache>
                <c:ptCount val="1"/>
                <c:pt idx="0">
                  <c:v>Call Count</c:v>
                </c:pt>
              </c:strCache>
            </c:strRef>
          </c:tx>
          <c:spPr>
            <a:ln w="25400" cap="rnd">
              <a:solidFill>
                <a:schemeClr val="accent5">
                  <a:lumMod val="75000"/>
                </a:schemeClr>
              </a:solidFill>
              <a:round/>
            </a:ln>
            <a:effectLst/>
          </c:spPr>
          <c:marker>
            <c:symbol val="circle"/>
            <c:size val="5"/>
            <c:spPr>
              <a:solidFill>
                <a:schemeClr val="bg1"/>
              </a:solidFill>
              <a:ln w="12700">
                <a:solidFill>
                  <a:schemeClr val="tx1"/>
                </a:solidFill>
              </a:ln>
              <a:effectLst/>
            </c:spPr>
          </c:marke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Pivots!$B$23:$B$35</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3254-440D-BD9C-FFE17B8F2047}"/>
            </c:ext>
          </c:extLst>
        </c:ser>
        <c:dLbls>
          <c:showLegendKey val="0"/>
          <c:showVal val="0"/>
          <c:showCatName val="0"/>
          <c:showSerName val="0"/>
          <c:showPercent val="0"/>
          <c:showBubbleSize val="0"/>
        </c:dLbls>
        <c:marker val="1"/>
        <c:smooth val="0"/>
        <c:axId val="1395173808"/>
        <c:axId val="2074811952"/>
      </c:lineChart>
      <c:catAx>
        <c:axId val="1395173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811952"/>
        <c:crosses val="autoZero"/>
        <c:auto val="1"/>
        <c:lblAlgn val="ctr"/>
        <c:lblOffset val="100"/>
        <c:noMultiLvlLbl val="0"/>
      </c:catAx>
      <c:valAx>
        <c:axId val="2074811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17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j-lt"/>
                <a:ea typeface="+mn-ea"/>
                <a:cs typeface="+mn-cs"/>
              </a:defRPr>
            </a:pPr>
            <a:r>
              <a:rPr lang="en-US" sz="1600">
                <a:solidFill>
                  <a:schemeClr val="accent5"/>
                </a:solidFill>
                <a:latin typeface="+mj-lt"/>
              </a:rPr>
              <a:t>Calls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Pivots!$H$43:$H$47</c:f>
              <c:strCache>
                <c:ptCount val="5"/>
                <c:pt idx="0">
                  <c:v>R01</c:v>
                </c:pt>
                <c:pt idx="1">
                  <c:v>R02</c:v>
                </c:pt>
                <c:pt idx="2">
                  <c:v>R03</c:v>
                </c:pt>
                <c:pt idx="3">
                  <c:v>R04</c:v>
                </c:pt>
                <c:pt idx="4">
                  <c:v>R05</c:v>
                </c:pt>
              </c:strCache>
            </c:strRef>
          </c:cat>
          <c:val>
            <c:numRef>
              <c:f>Pivots!$I$43:$I$47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58A-4614-AD7F-FB939E1340B4}"/>
            </c:ext>
          </c:extLst>
        </c:ser>
        <c:ser>
          <c:idx val="1"/>
          <c:order val="1"/>
          <c:tx>
            <c:strRef>
              <c:f>Pivots!$K$42</c:f>
              <c:strCache>
                <c:ptCount val="1"/>
                <c:pt idx="0">
                  <c:v>Selected  Calls </c:v>
                </c:pt>
              </c:strCache>
            </c:strRef>
          </c:tx>
          <c:spPr>
            <a:gradFill flip="none" rotWithShape="1">
              <a:gsLst>
                <a:gs pos="0">
                  <a:schemeClr val="accent5">
                    <a:lumMod val="40000"/>
                    <a:lumOff val="60000"/>
                  </a:schemeClr>
                </a:gs>
                <a:gs pos="100000">
                  <a:schemeClr val="accent5">
                    <a:lumMod val="100000"/>
                  </a:schemeClr>
                </a:gs>
              </a:gsLst>
              <a:path path="rect">
                <a:fillToRect r="100000" b="100000"/>
              </a:path>
              <a:tileRect l="-100000" t="-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Pivots!$K$43:$K$47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758A-4614-AD7F-FB939E1340B4}"/>
            </c:ext>
          </c:extLst>
        </c:ser>
        <c:dLbls>
          <c:showLegendKey val="0"/>
          <c:showVal val="1"/>
          <c:showCatName val="0"/>
          <c:showSerName val="0"/>
          <c:showPercent val="0"/>
          <c:showBubbleSize val="0"/>
        </c:dLbls>
        <c:gapWidth val="40"/>
        <c:overlap val="100"/>
        <c:axId val="61769856"/>
        <c:axId val="61771296"/>
      </c:barChart>
      <c:catAx>
        <c:axId val="61769856"/>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771296"/>
        <c:crosses val="autoZero"/>
        <c:auto val="1"/>
        <c:lblAlgn val="ctr"/>
        <c:lblOffset val="100"/>
        <c:noMultiLvlLbl val="0"/>
      </c:catAx>
      <c:valAx>
        <c:axId val="61771296"/>
        <c:scaling>
          <c:orientation val="minMax"/>
          <c:min val="0"/>
        </c:scaling>
        <c:delete val="1"/>
        <c:axPos val="t"/>
        <c:numFmt formatCode="General" sourceLinked="1"/>
        <c:majorTickMark val="out"/>
        <c:minorTickMark val="none"/>
        <c:tickLblPos val="nextTo"/>
        <c:crossAx val="61769856"/>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chemeClr val="tx1"/>
                </a:solidFill>
                <a:latin typeface="+mj-lt"/>
                <a:ea typeface="+mn-ea"/>
                <a:cs typeface="+mn-cs"/>
              </a:defRPr>
            </a:pPr>
            <a:r>
              <a:rPr lang="en-US" sz="1800">
                <a:solidFill>
                  <a:schemeClr val="accent5"/>
                </a:solidFill>
                <a:latin typeface="+mj-lt"/>
              </a:rPr>
              <a:t>Amount</a:t>
            </a:r>
          </a:p>
        </c:rich>
      </c:tx>
      <c:overlay val="0"/>
      <c:spPr>
        <a:noFill/>
        <a:ln>
          <a:noFill/>
        </a:ln>
        <a:effectLst/>
      </c:sp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clip" horzOverflow="clip" vert="horz" wrap="none" lIns="0" rIns="0" anchor="ctr" anchorCtr="0">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Pivots!$H$43:$H$47</c:f>
              <c:strCache>
                <c:ptCount val="5"/>
                <c:pt idx="0">
                  <c:v>R01</c:v>
                </c:pt>
                <c:pt idx="1">
                  <c:v>R02</c:v>
                </c:pt>
                <c:pt idx="2">
                  <c:v>R03</c:v>
                </c:pt>
                <c:pt idx="3">
                  <c:v>R04</c:v>
                </c:pt>
                <c:pt idx="4">
                  <c:v>R05</c:v>
                </c:pt>
              </c:strCache>
            </c:strRef>
          </c:cat>
          <c:val>
            <c:numRef>
              <c:f>Pivots!$J$43:$J$47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9F4-4CF3-939F-7A6179C444E5}"/>
            </c:ext>
          </c:extLst>
        </c:ser>
        <c:ser>
          <c:idx val="1"/>
          <c:order val="1"/>
          <c:tx>
            <c:strRef>
              <c:f>Pivots!$L$42</c:f>
              <c:strCache>
                <c:ptCount val="1"/>
                <c:pt idx="0">
                  <c:v>Selected Amount</c:v>
                </c:pt>
              </c:strCache>
            </c:strRef>
          </c:tx>
          <c:spPr>
            <a:gradFill>
              <a:gsLst>
                <a:gs pos="0">
                  <a:schemeClr val="accent5">
                    <a:lumMod val="50000"/>
                    <a:lumOff val="50000"/>
                  </a:schemeClr>
                </a:gs>
                <a:gs pos="100000">
                  <a:schemeClr val="accent5">
                    <a:lumMod val="50000"/>
                  </a:schemeClr>
                </a:gs>
              </a:gsLst>
              <a:lin ang="0" scaled="1"/>
            </a:gradFill>
            <a:ln>
              <a:gradFill flip="none" rotWithShape="1">
                <a:gsLst>
                  <a:gs pos="0">
                    <a:schemeClr val="accent6">
                      <a:lumMod val="77000"/>
                    </a:schemeClr>
                  </a:gs>
                  <a:gs pos="100000">
                    <a:schemeClr val="accent5">
                      <a:lumMod val="75000"/>
                    </a:schemeClr>
                  </a:gs>
                </a:gsLst>
                <a:lin ang="0" scaled="1"/>
                <a:tileRect/>
              </a:gradFill>
            </a:ln>
            <a:effectLst/>
          </c:spPr>
          <c:invertIfNegative val="0"/>
          <c:val>
            <c:numRef>
              <c:f>Pivots!$L$43:$L$47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D9F4-4CF3-939F-7A6179C444E5}"/>
            </c:ext>
          </c:extLst>
        </c:ser>
        <c:dLbls>
          <c:showLegendKey val="0"/>
          <c:showVal val="0"/>
          <c:showCatName val="0"/>
          <c:showSerName val="0"/>
          <c:showPercent val="0"/>
          <c:showBubbleSize val="0"/>
        </c:dLbls>
        <c:gapWidth val="40"/>
        <c:overlap val="100"/>
        <c:axId val="61769856"/>
        <c:axId val="61771296"/>
      </c:barChart>
      <c:catAx>
        <c:axId val="61769856"/>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61771296"/>
        <c:crosses val="autoZero"/>
        <c:auto val="1"/>
        <c:lblAlgn val="ctr"/>
        <c:lblOffset val="100"/>
        <c:noMultiLvlLbl val="0"/>
      </c:catAx>
      <c:valAx>
        <c:axId val="61771296"/>
        <c:scaling>
          <c:orientation val="minMax"/>
        </c:scaling>
        <c:delete val="1"/>
        <c:axPos val="t"/>
        <c:numFmt formatCode="&quot;$&quot;#,###.0,&quot;k&quot;" sourceLinked="1"/>
        <c:majorTickMark val="none"/>
        <c:minorTickMark val="none"/>
        <c:tickLblPos val="nextTo"/>
        <c:crossAx val="61769856"/>
        <c:crosses val="autoZero"/>
        <c:crossBetween val="between"/>
        <c:maj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[Dashboard.xlsx]Pivots!Male vs Female Callers Pivot</c:name>
    <c:fmtId val="14"/>
  </c:pivotSource>
  <c:chart>
    <c:title>
      <c:tx>
        <c:rich>
          <a:bodyPr rot="0" spcFirstLastPara="1" vertOverflow="ellipsis" vert="horz" wrap="square" anchor="ctr" anchorCtr="0"/>
          <a:lstStyle/>
          <a:p>
            <a:pPr>
              <a:defRPr sz="1050" b="0" i="0" u="none" strike="noStrike" kern="1200" spc="0" baseline="0">
                <a:solidFill>
                  <a:schemeClr val="tx1">
                    <a:lumMod val="65000"/>
                    <a:lumOff val="35000"/>
                  </a:schemeClr>
                </a:solidFill>
                <a:latin typeface="+mn-lt"/>
                <a:ea typeface="+mn-ea"/>
                <a:cs typeface="+mn-cs"/>
              </a:defRPr>
            </a:pPr>
            <a:r>
              <a:rPr lang="en-US" sz="1050" b="1">
                <a:solidFill>
                  <a:schemeClr val="accent2">
                    <a:lumMod val="50000"/>
                  </a:schemeClr>
                </a:solidFill>
                <a:latin typeface="+mj-lt"/>
              </a:rPr>
              <a:t>Male</a:t>
            </a:r>
            <a:r>
              <a:rPr lang="en-US" sz="1050" b="1">
                <a:latin typeface="+mj-lt"/>
              </a:rPr>
              <a:t> vs. </a:t>
            </a:r>
            <a:r>
              <a:rPr lang="en-US" sz="1050" b="1">
                <a:solidFill>
                  <a:schemeClr val="accent5">
                    <a:lumMod val="75000"/>
                  </a:schemeClr>
                </a:solidFill>
                <a:latin typeface="+mj-lt"/>
              </a:rPr>
              <a:t>Female </a:t>
            </a:r>
            <a:r>
              <a:rPr lang="en-US" sz="1050" b="1">
                <a:latin typeface="+mj-lt"/>
              </a:rPr>
              <a:t>Callers</a:t>
            </a:r>
          </a:p>
        </c:rich>
      </c:tx>
      <c:layout>
        <c:manualLayout>
          <c:xMode val="edge"/>
          <c:yMode val="edge"/>
          <c:x val="0.20935059405808865"/>
          <c:y val="1.6257761831444263E-2"/>
        </c:manualLayout>
      </c:layout>
      <c:overlay val="0"/>
      <c:spPr>
        <a:noFill/>
        <a:ln>
          <a:noFill/>
        </a:ln>
        <a:effectLst>
          <a:softEdge rad="0"/>
        </a:effectLst>
      </c:spPr>
      <c:txPr>
        <a:bodyPr rot="0" spcFirstLastPara="1" vertOverflow="ellipsis" vert="horz" wrap="square" anchor="ctr" anchorCtr="0"/>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75000"/>
              </a:schemeClr>
            </a:solid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Pivots!$B$62:$B$63</c:f>
              <c:strCache>
                <c:ptCount val="1"/>
                <c:pt idx="0">
                  <c:v>Female</c:v>
                </c:pt>
              </c:strCache>
            </c:strRef>
          </c:tx>
          <c:spPr>
            <a:solidFill>
              <a:schemeClr val="accent5">
                <a:lumMod val="75000"/>
              </a:schemeClr>
            </a:solidFill>
            <a:ln>
              <a:solidFill>
                <a:schemeClr val="accent5">
                  <a:lumMod val="75000"/>
                </a:schemeClr>
              </a:solid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Pivots!$A$64:$A$67</c:f>
              <c:strCache>
                <c:ptCount val="3"/>
                <c:pt idx="0">
                  <c:v>Cincinnati</c:v>
                </c:pt>
                <c:pt idx="1">
                  <c:v>Cleveland</c:v>
                </c:pt>
                <c:pt idx="2">
                  <c:v>Columbus</c:v>
                </c:pt>
              </c:strCache>
            </c:strRef>
          </c:cat>
          <c:val>
            <c:numRef>
              <c:f>Pivots!$B$64:$B$67</c:f>
              <c:numCache>
                <c:formatCode>#,##0</c:formatCode>
                <c:ptCount val="3"/>
                <c:pt idx="0">
                  <c:v>144</c:v>
                </c:pt>
                <c:pt idx="1">
                  <c:v>326</c:v>
                </c:pt>
                <c:pt idx="2">
                  <c:v>129</c:v>
                </c:pt>
              </c:numCache>
            </c:numRef>
          </c:val>
          <c:extLst>
            <c:ext xmlns:c16="http://schemas.microsoft.com/office/drawing/2014/chart" uri="{C3380CC4-5D6E-409C-BE32-E72D297353CC}">
              <c16:uniqueId val="{00000000-0621-4DCE-81B7-0130E3986D92}"/>
            </c:ext>
          </c:extLst>
        </c:ser>
        <c:ser>
          <c:idx val="1"/>
          <c:order val="1"/>
          <c:tx>
            <c:strRef>
              <c:f>Pivots!$C$62:$C$63</c:f>
              <c:strCache>
                <c:ptCount val="1"/>
                <c:pt idx="0">
                  <c:v>Male</c:v>
                </c:pt>
              </c:strCache>
            </c:strRef>
          </c:tx>
          <c:spPr>
            <a:solidFill>
              <a:schemeClr val="accent2">
                <a:lumMod val="50000"/>
              </a:schemeClr>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Pivots!$A$64:$A$67</c:f>
              <c:strCache>
                <c:ptCount val="3"/>
                <c:pt idx="0">
                  <c:v>Cincinnati</c:v>
                </c:pt>
                <c:pt idx="1">
                  <c:v>Cleveland</c:v>
                </c:pt>
                <c:pt idx="2">
                  <c:v>Columbus</c:v>
                </c:pt>
              </c:strCache>
            </c:strRef>
          </c:cat>
          <c:val>
            <c:numRef>
              <c:f>Pivots!$C$64:$C$67</c:f>
              <c:numCache>
                <c:formatCode>#,##0</c:formatCode>
                <c:ptCount val="3"/>
                <c:pt idx="0">
                  <c:v>132</c:v>
                </c:pt>
                <c:pt idx="1">
                  <c:v>63</c:v>
                </c:pt>
                <c:pt idx="2">
                  <c:v>206</c:v>
                </c:pt>
              </c:numCache>
            </c:numRef>
          </c:val>
          <c:extLst>
            <c:ext xmlns:c16="http://schemas.microsoft.com/office/drawing/2014/chart" uri="{C3380CC4-5D6E-409C-BE32-E72D297353CC}">
              <c16:uniqueId val="{00000001-0621-4DCE-81B7-0130E3986D92}"/>
            </c:ext>
          </c:extLst>
        </c:ser>
        <c:dLbls>
          <c:dLblPos val="ctr"/>
          <c:showLegendKey val="0"/>
          <c:showVal val="1"/>
          <c:showCatName val="0"/>
          <c:showSerName val="0"/>
          <c:showPercent val="0"/>
          <c:showBubbleSize val="0"/>
        </c:dLbls>
        <c:gapWidth val="25"/>
        <c:overlap val="100"/>
        <c:axId val="317164144"/>
        <c:axId val="317174704"/>
      </c:barChart>
      <c:catAx>
        <c:axId val="31716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7174704"/>
        <c:crosses val="autoZero"/>
        <c:auto val="1"/>
        <c:lblAlgn val="ctr"/>
        <c:lblOffset val="100"/>
        <c:noMultiLvlLbl val="0"/>
      </c:catAx>
      <c:valAx>
        <c:axId val="31717470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16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[Dashboard.xlsx]Pivots!Rep Satisfaction rating rounded</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accent1">
                    <a:lumMod val="50000"/>
                  </a:schemeClr>
                </a:solidFill>
                <a:latin typeface="+mj-lt"/>
              </a:rPr>
              <a:t>Rating</a:t>
            </a:r>
          </a:p>
        </c:rich>
      </c:tx>
      <c:layout>
        <c:manualLayout>
          <c:xMode val="edge"/>
          <c:yMode val="edge"/>
          <c:x val="0.39632894741626939"/>
          <c:y val="3.6940308275437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Pivots!$I$62</c:f>
              <c:strCache>
                <c:ptCount val="1"/>
                <c:pt idx="0">
                  <c:v>Total</c:v>
                </c:pt>
              </c:strCache>
            </c:strRef>
          </c:tx>
          <c:spPr>
            <a:solidFill>
              <a:schemeClr val="accent1"/>
            </a:solidFill>
            <a:ln>
              <a:noFill/>
            </a:ln>
            <a:effectLst/>
          </c:spPr>
          <c:invertIfNegative val="0"/>
          <c:cat>
            <c:strRef>
              <c:f>Pivots!$H$63:$H$68</c:f>
              <c:strCache>
                <c:ptCount val="5"/>
                <c:pt idx="0">
                  <c:v>1</c:v>
                </c:pt>
                <c:pt idx="1">
                  <c:v>2</c:v>
                </c:pt>
                <c:pt idx="2">
                  <c:v>3</c:v>
                </c:pt>
                <c:pt idx="3">
                  <c:v>4</c:v>
                </c:pt>
                <c:pt idx="4">
                  <c:v>5</c:v>
                </c:pt>
              </c:strCache>
            </c:strRef>
          </c:cat>
          <c:val>
            <c:numRef>
              <c:f>Pivots!$I$63:$I$68</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6D0F-4861-9FC4-8CD2C30DA7EB}"/>
            </c:ext>
          </c:extLst>
        </c:ser>
        <c:dLbls>
          <c:showLegendKey val="0"/>
          <c:showVal val="0"/>
          <c:showCatName val="0"/>
          <c:showSerName val="0"/>
          <c:showPercent val="0"/>
          <c:showBubbleSize val="0"/>
        </c:dLbls>
        <c:gapWidth val="25"/>
        <c:overlap val="-27"/>
        <c:axId val="63907568"/>
        <c:axId val="63910448"/>
      </c:barChart>
      <c:catAx>
        <c:axId val="63907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10448"/>
        <c:crosses val="autoZero"/>
        <c:auto val="1"/>
        <c:lblAlgn val="ctr"/>
        <c:lblOffset val="100"/>
        <c:noMultiLvlLbl val="0"/>
      </c:catAx>
      <c:valAx>
        <c:axId val="63910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chart" Target="../charts/chart1.xml"/><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4</xdr:col>
      <xdr:colOff>5127</xdr:colOff>
      <xdr:row>6</xdr:row>
      <xdr:rowOff>54430</xdr:rowOff>
    </xdr:to>
    <xdr:sp macro="" textlink="Pivots!C5">
      <xdr:nvSpPr>
        <xdr:cNvPr id="32" name="Rectangle 31">
          <a:extLst>
            <a:ext uri="{FF2B5EF4-FFF2-40B4-BE49-F238E27FC236}">
              <a16:creationId xmlns:a16="http://schemas.microsoft.com/office/drawing/2014/main" id="{F5CC29F9-3088-4A77-98F5-3C20021B400E}"/>
            </a:ext>
          </a:extLst>
        </xdr:cNvPr>
        <xdr:cNvSpPr/>
      </xdr:nvSpPr>
      <xdr:spPr>
        <a:xfrm>
          <a:off x="502478" y="364435"/>
          <a:ext cx="1330345" cy="783299"/>
        </a:xfrm>
        <a:prstGeom prst="rect">
          <a:avLst/>
        </a:prstGeom>
        <a:solidFill>
          <a:schemeClr val="accent5">
            <a:lumMod val="75000"/>
          </a:schemeClr>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7023B95-98F8-42E5-82B3-55BF1A628E90}" type="TxLink">
            <a:rPr lang="en-US" sz="2800" b="0" i="0" u="none" strike="noStrike">
              <a:solidFill>
                <a:schemeClr val="bg1"/>
              </a:solidFill>
              <a:latin typeface="+mj-lt"/>
              <a:ea typeface="+mn-ea"/>
              <a:cs typeface="+mn-cs"/>
            </a:rPr>
            <a:pPr marL="0" indent="0" algn="ctr"/>
            <a:t> </a:t>
          </a:fld>
          <a:endParaRPr lang="en-US" sz="2800" b="0" i="0" u="none" strike="noStrike">
            <a:solidFill>
              <a:schemeClr val="bg1"/>
            </a:solidFill>
            <a:latin typeface="+mj-lt"/>
            <a:ea typeface="+mn-ea"/>
            <a:cs typeface="+mn-cs"/>
          </a:endParaRPr>
        </a:p>
      </xdr:txBody>
    </xdr:sp>
    <xdr:clientData/>
  </xdr:twoCellAnchor>
  <xdr:twoCellAnchor>
    <xdr:from>
      <xdr:col>2</xdr:col>
      <xdr:colOff>213893</xdr:colOff>
      <xdr:row>2</xdr:row>
      <xdr:rowOff>25507</xdr:rowOff>
    </xdr:from>
    <xdr:to>
      <xdr:col>3</xdr:col>
      <xdr:colOff>371679</xdr:colOff>
      <xdr:row>3</xdr:row>
      <xdr:rowOff>19573</xdr:rowOff>
    </xdr:to>
    <xdr:sp macro="" textlink="">
      <xdr:nvSpPr>
        <xdr:cNvPr id="33" name="TextBox 32">
          <a:extLst>
            <a:ext uri="{FF2B5EF4-FFF2-40B4-BE49-F238E27FC236}">
              <a16:creationId xmlns:a16="http://schemas.microsoft.com/office/drawing/2014/main" id="{E56FDEE3-9661-4D1F-BF30-64085C20EA24}"/>
            </a:ext>
          </a:extLst>
        </xdr:cNvPr>
        <xdr:cNvSpPr txBox="1"/>
      </xdr:nvSpPr>
      <xdr:spPr>
        <a:xfrm>
          <a:off x="715209" y="393139"/>
          <a:ext cx="819523" cy="177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85000"/>
                </a:schemeClr>
              </a:solidFill>
              <a:latin typeface="+mj-lt"/>
            </a:rPr>
            <a:t>Calls</a:t>
          </a:r>
          <a:endParaRPr lang="en-US" sz="1000">
            <a:solidFill>
              <a:schemeClr val="bg1">
                <a:lumMod val="85000"/>
              </a:schemeClr>
            </a:solidFill>
            <a:latin typeface="+mj-lt"/>
          </a:endParaRPr>
        </a:p>
      </xdr:txBody>
    </xdr:sp>
    <xdr:clientData/>
  </xdr:twoCellAnchor>
  <xdr:twoCellAnchor editAs="oneCell">
    <xdr:from>
      <xdr:col>2</xdr:col>
      <xdr:colOff>25845</xdr:colOff>
      <xdr:row>3</xdr:row>
      <xdr:rowOff>118678</xdr:rowOff>
    </xdr:from>
    <xdr:to>
      <xdr:col>2</xdr:col>
      <xdr:colOff>267407</xdr:colOff>
      <xdr:row>4</xdr:row>
      <xdr:rowOff>161905</xdr:rowOff>
    </xdr:to>
    <xdr:pic>
      <xdr:nvPicPr>
        <xdr:cNvPr id="34" name="Graphic 33" descr="Receiver with solid fill">
          <a:extLst>
            <a:ext uri="{FF2B5EF4-FFF2-40B4-BE49-F238E27FC236}">
              <a16:creationId xmlns:a16="http://schemas.microsoft.com/office/drawing/2014/main" id="{E2E5D6F1-B1FB-4B00-BB62-FB8AAC9658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7161" y="670125"/>
          <a:ext cx="241562" cy="233392"/>
        </a:xfrm>
        <a:prstGeom prst="rect">
          <a:avLst/>
        </a:prstGeom>
      </xdr:spPr>
    </xdr:pic>
    <xdr:clientData/>
  </xdr:twoCellAnchor>
  <xdr:twoCellAnchor>
    <xdr:from>
      <xdr:col>2</xdr:col>
      <xdr:colOff>197598</xdr:colOff>
      <xdr:row>5</xdr:row>
      <xdr:rowOff>52853</xdr:rowOff>
    </xdr:from>
    <xdr:to>
      <xdr:col>3</xdr:col>
      <xdr:colOff>484728</xdr:colOff>
      <xdr:row>5</xdr:row>
      <xdr:rowOff>179853</xdr:rowOff>
    </xdr:to>
    <xdr:sp macro="" textlink="Pivots!A14">
      <xdr:nvSpPr>
        <xdr:cNvPr id="35" name="TextBox 34">
          <a:extLst>
            <a:ext uri="{FF2B5EF4-FFF2-40B4-BE49-F238E27FC236}">
              <a16:creationId xmlns:a16="http://schemas.microsoft.com/office/drawing/2014/main" id="{95826327-8BFC-48E6-BD45-5D5F29BDFA51}"/>
            </a:ext>
          </a:extLst>
        </xdr:cNvPr>
        <xdr:cNvSpPr txBox="1"/>
      </xdr:nvSpPr>
      <xdr:spPr>
        <a:xfrm>
          <a:off x="700076" y="963940"/>
          <a:ext cx="949739" cy="12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605F14-93B7-46D1-AEEA-1A1055630EF9}" type="TxLink">
            <a:rPr lang="en-US" sz="1200" b="0" i="0" u="none" strike="noStrike">
              <a:solidFill>
                <a:schemeClr val="bg1">
                  <a:lumMod val="85000"/>
                </a:schemeClr>
              </a:solidFill>
              <a:latin typeface="Aptos"/>
              <a:ea typeface="+mn-ea"/>
              <a:cs typeface="+mn-cs"/>
            </a:rPr>
            <a:pPr marL="0" indent="0" algn="ctr"/>
            <a:t>189</a:t>
          </a:fld>
          <a:endParaRPr lang="en-US" sz="1200" b="0" i="0" u="none" strike="noStrike">
            <a:solidFill>
              <a:schemeClr val="bg1">
                <a:lumMod val="85000"/>
              </a:schemeClr>
            </a:solidFill>
            <a:latin typeface="Aptos"/>
            <a:ea typeface="+mn-ea"/>
            <a:cs typeface="+mn-cs"/>
          </a:endParaRPr>
        </a:p>
      </xdr:txBody>
    </xdr:sp>
    <xdr:clientData/>
  </xdr:twoCellAnchor>
  <xdr:twoCellAnchor>
    <xdr:from>
      <xdr:col>2</xdr:col>
      <xdr:colOff>241773</xdr:colOff>
      <xdr:row>3</xdr:row>
      <xdr:rowOff>91504</xdr:rowOff>
    </xdr:from>
    <xdr:to>
      <xdr:col>3</xdr:col>
      <xdr:colOff>512337</xdr:colOff>
      <xdr:row>5</xdr:row>
      <xdr:rowOff>3156</xdr:rowOff>
    </xdr:to>
    <xdr:sp macro="" textlink="Pivots!A4">
      <xdr:nvSpPr>
        <xdr:cNvPr id="36" name="TextBox 35">
          <a:extLst>
            <a:ext uri="{FF2B5EF4-FFF2-40B4-BE49-F238E27FC236}">
              <a16:creationId xmlns:a16="http://schemas.microsoft.com/office/drawing/2014/main" id="{2F666048-1CEE-4C31-A305-6E6703BBBD13}"/>
            </a:ext>
          </a:extLst>
        </xdr:cNvPr>
        <xdr:cNvSpPr txBox="1"/>
      </xdr:nvSpPr>
      <xdr:spPr>
        <a:xfrm>
          <a:off x="744251" y="638156"/>
          <a:ext cx="933173"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796C75-9246-4933-9818-EC8D7D830001}" type="TxLink">
            <a:rPr lang="en-US" sz="1600" b="0" i="0" u="none" strike="noStrike">
              <a:solidFill>
                <a:schemeClr val="bg1"/>
              </a:solidFill>
              <a:latin typeface="+mj-lt"/>
              <a:ea typeface="+mn-ea"/>
              <a:cs typeface="+mn-cs"/>
            </a:rPr>
            <a:pPr marL="0" indent="0" algn="ctr"/>
            <a:t>1,000</a:t>
          </a:fld>
          <a:endParaRPr lang="en-US" sz="1600" b="0" i="0" u="none" strike="noStrike">
            <a:solidFill>
              <a:schemeClr val="bg1"/>
            </a:solidFill>
            <a:latin typeface="+mj-lt"/>
            <a:ea typeface="+mn-ea"/>
            <a:cs typeface="+mn-cs"/>
          </a:endParaRPr>
        </a:p>
      </xdr:txBody>
    </xdr:sp>
    <xdr:clientData/>
  </xdr:twoCellAnchor>
  <xdr:twoCellAnchor>
    <xdr:from>
      <xdr:col>2</xdr:col>
      <xdr:colOff>0</xdr:colOff>
      <xdr:row>7</xdr:row>
      <xdr:rowOff>149678</xdr:rowOff>
    </xdr:from>
    <xdr:to>
      <xdr:col>4</xdr:col>
      <xdr:colOff>5127</xdr:colOff>
      <xdr:row>12</xdr:row>
      <xdr:rowOff>95250</xdr:rowOff>
    </xdr:to>
    <xdr:sp macro="" textlink="Pivots!C5">
      <xdr:nvSpPr>
        <xdr:cNvPr id="37" name="Rectangle 36">
          <a:extLst>
            <a:ext uri="{FF2B5EF4-FFF2-40B4-BE49-F238E27FC236}">
              <a16:creationId xmlns:a16="http://schemas.microsoft.com/office/drawing/2014/main" id="{6A47B365-BDD5-4237-AEE3-884C21E74A20}"/>
            </a:ext>
          </a:extLst>
        </xdr:cNvPr>
        <xdr:cNvSpPr/>
      </xdr:nvSpPr>
      <xdr:spPr>
        <a:xfrm>
          <a:off x="492125" y="1483178"/>
          <a:ext cx="1338627" cy="898072"/>
        </a:xfrm>
        <a:prstGeom prst="rect">
          <a:avLst/>
        </a:prstGeom>
        <a:solidFill>
          <a:schemeClr val="accent5">
            <a:lumMod val="75000"/>
          </a:schemeClr>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7023B95-98F8-42E5-82B3-55BF1A628E90}" type="TxLink">
            <a:rPr lang="en-US" sz="2800" b="0" i="0" u="none" strike="noStrike">
              <a:solidFill>
                <a:schemeClr val="bg1"/>
              </a:solidFill>
              <a:latin typeface="+mj-lt"/>
              <a:ea typeface="+mn-ea"/>
              <a:cs typeface="+mn-cs"/>
            </a:rPr>
            <a:pPr marL="0" indent="0" algn="ctr"/>
            <a:t> </a:t>
          </a:fld>
          <a:endParaRPr lang="en-US" sz="2800" b="0" i="0" u="none" strike="noStrike">
            <a:solidFill>
              <a:schemeClr val="bg1"/>
            </a:solidFill>
            <a:latin typeface="+mj-lt"/>
            <a:ea typeface="+mn-ea"/>
            <a:cs typeface="+mn-cs"/>
          </a:endParaRPr>
        </a:p>
      </xdr:txBody>
    </xdr:sp>
    <xdr:clientData/>
  </xdr:twoCellAnchor>
  <xdr:twoCellAnchor>
    <xdr:from>
      <xdr:col>2</xdr:col>
      <xdr:colOff>74677</xdr:colOff>
      <xdr:row>8</xdr:row>
      <xdr:rowOff>4071</xdr:rowOff>
    </xdr:from>
    <xdr:to>
      <xdr:col>3</xdr:col>
      <xdr:colOff>436331</xdr:colOff>
      <xdr:row>8</xdr:row>
      <xdr:rowOff>190826</xdr:rowOff>
    </xdr:to>
    <xdr:sp macro="" textlink="">
      <xdr:nvSpPr>
        <xdr:cNvPr id="38" name="TextBox 37">
          <a:extLst>
            <a:ext uri="{FF2B5EF4-FFF2-40B4-BE49-F238E27FC236}">
              <a16:creationId xmlns:a16="http://schemas.microsoft.com/office/drawing/2014/main" id="{BF7AFC93-3064-486E-BFD5-F87825EA0214}"/>
            </a:ext>
          </a:extLst>
        </xdr:cNvPr>
        <xdr:cNvSpPr txBox="1"/>
      </xdr:nvSpPr>
      <xdr:spPr>
        <a:xfrm>
          <a:off x="573918" y="1707623"/>
          <a:ext cx="865275" cy="18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85000"/>
                </a:schemeClr>
              </a:solidFill>
              <a:latin typeface="+mj-lt"/>
            </a:rPr>
            <a:t>Amount</a:t>
          </a:r>
          <a:endParaRPr lang="en-US" sz="1000">
            <a:solidFill>
              <a:schemeClr val="bg1">
                <a:lumMod val="85000"/>
              </a:schemeClr>
            </a:solidFill>
            <a:latin typeface="+mj-lt"/>
          </a:endParaRPr>
        </a:p>
      </xdr:txBody>
    </xdr:sp>
    <xdr:clientData/>
  </xdr:twoCellAnchor>
  <xdr:twoCellAnchor>
    <xdr:from>
      <xdr:col>2</xdr:col>
      <xdr:colOff>197598</xdr:colOff>
      <xdr:row>11</xdr:row>
      <xdr:rowOff>52853</xdr:rowOff>
    </xdr:from>
    <xdr:to>
      <xdr:col>3</xdr:col>
      <xdr:colOff>484728</xdr:colOff>
      <xdr:row>11</xdr:row>
      <xdr:rowOff>179853</xdr:rowOff>
    </xdr:to>
    <xdr:sp macro="" textlink="Pivots!B14">
      <xdr:nvSpPr>
        <xdr:cNvPr id="40" name="TextBox 39">
          <a:extLst>
            <a:ext uri="{FF2B5EF4-FFF2-40B4-BE49-F238E27FC236}">
              <a16:creationId xmlns:a16="http://schemas.microsoft.com/office/drawing/2014/main" id="{9E771136-1982-4B1F-AEFE-7101694B8D4A}"/>
            </a:ext>
          </a:extLst>
        </xdr:cNvPr>
        <xdr:cNvSpPr txBox="1"/>
      </xdr:nvSpPr>
      <xdr:spPr>
        <a:xfrm>
          <a:off x="695829" y="2094622"/>
          <a:ext cx="946553" cy="12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BD9882-413F-47FB-81DD-C0E2A69F99E7}" type="TxLink">
            <a:rPr lang="en-US" sz="1200" b="0" i="0" u="none" strike="noStrike">
              <a:solidFill>
                <a:schemeClr val="bg1">
                  <a:lumMod val="85000"/>
                </a:schemeClr>
              </a:solidFill>
              <a:latin typeface="Aptos"/>
              <a:ea typeface="+mn-ea"/>
              <a:cs typeface="+mn-cs"/>
            </a:rPr>
            <a:pPr marL="0" indent="0" algn="ctr"/>
            <a:t>$18,415</a:t>
          </a:fld>
          <a:endParaRPr lang="en-US" sz="1200" b="0" i="0" u="none" strike="noStrike">
            <a:solidFill>
              <a:schemeClr val="bg1">
                <a:lumMod val="85000"/>
              </a:schemeClr>
            </a:solidFill>
            <a:latin typeface="Aptos"/>
            <a:ea typeface="+mn-ea"/>
            <a:cs typeface="+mn-cs"/>
          </a:endParaRPr>
        </a:p>
      </xdr:txBody>
    </xdr:sp>
    <xdr:clientData/>
  </xdr:twoCellAnchor>
  <xdr:twoCellAnchor>
    <xdr:from>
      <xdr:col>2</xdr:col>
      <xdr:colOff>241773</xdr:colOff>
      <xdr:row>9</xdr:row>
      <xdr:rowOff>91504</xdr:rowOff>
    </xdr:from>
    <xdr:to>
      <xdr:col>3</xdr:col>
      <xdr:colOff>512337</xdr:colOff>
      <xdr:row>11</xdr:row>
      <xdr:rowOff>3156</xdr:rowOff>
    </xdr:to>
    <xdr:sp macro="" textlink="Pivots!B4">
      <xdr:nvSpPr>
        <xdr:cNvPr id="41" name="TextBox 40">
          <a:extLst>
            <a:ext uri="{FF2B5EF4-FFF2-40B4-BE49-F238E27FC236}">
              <a16:creationId xmlns:a16="http://schemas.microsoft.com/office/drawing/2014/main" id="{8F842B15-70FD-4CF2-BBF9-F6E3304C491A}"/>
            </a:ext>
          </a:extLst>
        </xdr:cNvPr>
        <xdr:cNvSpPr txBox="1"/>
      </xdr:nvSpPr>
      <xdr:spPr>
        <a:xfrm>
          <a:off x="740004" y="1762042"/>
          <a:ext cx="929987" cy="282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D2DCB8-F6EA-46B4-9BD9-B88696F7E1D0}" type="TxLink">
            <a:rPr lang="en-US" sz="1200" b="0" i="0" u="none" strike="noStrike">
              <a:solidFill>
                <a:schemeClr val="bg1"/>
              </a:solidFill>
              <a:latin typeface="+mj-lt"/>
              <a:ea typeface="+mn-ea"/>
              <a:cs typeface="+mn-cs"/>
            </a:rPr>
            <a:pPr marL="0" indent="0" algn="ctr"/>
            <a:t>$96,623</a:t>
          </a:fld>
          <a:endParaRPr lang="en-US" sz="1200" b="0" i="0" u="none" strike="noStrike">
            <a:solidFill>
              <a:schemeClr val="bg1"/>
            </a:solidFill>
            <a:latin typeface="+mj-lt"/>
            <a:ea typeface="+mn-ea"/>
            <a:cs typeface="+mn-cs"/>
          </a:endParaRPr>
        </a:p>
      </xdr:txBody>
    </xdr:sp>
    <xdr:clientData/>
  </xdr:twoCellAnchor>
  <xdr:twoCellAnchor>
    <xdr:from>
      <xdr:col>2</xdr:col>
      <xdr:colOff>0</xdr:colOff>
      <xdr:row>14</xdr:row>
      <xdr:rowOff>0</xdr:rowOff>
    </xdr:from>
    <xdr:to>
      <xdr:col>4</xdr:col>
      <xdr:colOff>5127</xdr:colOff>
      <xdr:row>18</xdr:row>
      <xdr:rowOff>54429</xdr:rowOff>
    </xdr:to>
    <xdr:sp macro="" textlink="Pivots!C5">
      <xdr:nvSpPr>
        <xdr:cNvPr id="42" name="Rectangle 41">
          <a:extLst>
            <a:ext uri="{FF2B5EF4-FFF2-40B4-BE49-F238E27FC236}">
              <a16:creationId xmlns:a16="http://schemas.microsoft.com/office/drawing/2014/main" id="{27EA4EAA-8119-48BD-8E9F-6C0F04DA3A92}"/>
            </a:ext>
          </a:extLst>
        </xdr:cNvPr>
        <xdr:cNvSpPr/>
      </xdr:nvSpPr>
      <xdr:spPr>
        <a:xfrm>
          <a:off x="498231" y="2598615"/>
          <a:ext cx="1323973" cy="796891"/>
        </a:xfrm>
        <a:prstGeom prst="rect">
          <a:avLst/>
        </a:prstGeom>
        <a:solidFill>
          <a:schemeClr val="accent5">
            <a:lumMod val="75000"/>
          </a:schemeClr>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7023B95-98F8-42E5-82B3-55BF1A628E90}" type="TxLink">
            <a:rPr lang="en-US" sz="2800" b="0" i="0" u="none" strike="noStrike">
              <a:solidFill>
                <a:schemeClr val="bg1"/>
              </a:solidFill>
              <a:latin typeface="+mj-lt"/>
              <a:ea typeface="+mn-ea"/>
              <a:cs typeface="+mn-cs"/>
            </a:rPr>
            <a:pPr marL="0" indent="0" algn="ctr"/>
            <a:t> </a:t>
          </a:fld>
          <a:endParaRPr lang="en-US" sz="2800" b="0" i="0" u="none" strike="noStrike">
            <a:solidFill>
              <a:schemeClr val="bg1"/>
            </a:solidFill>
            <a:latin typeface="+mj-lt"/>
            <a:ea typeface="+mn-ea"/>
            <a:cs typeface="+mn-cs"/>
          </a:endParaRPr>
        </a:p>
      </xdr:txBody>
    </xdr:sp>
    <xdr:clientData/>
  </xdr:twoCellAnchor>
  <xdr:twoCellAnchor>
    <xdr:from>
      <xdr:col>2</xdr:col>
      <xdr:colOff>60276</xdr:colOff>
      <xdr:row>14</xdr:row>
      <xdr:rowOff>45560</xdr:rowOff>
    </xdr:from>
    <xdr:to>
      <xdr:col>3</xdr:col>
      <xdr:colOff>615653</xdr:colOff>
      <xdr:row>15</xdr:row>
      <xdr:rowOff>39625</xdr:rowOff>
    </xdr:to>
    <xdr:sp macro="" textlink="">
      <xdr:nvSpPr>
        <xdr:cNvPr id="43" name="TextBox 42">
          <a:extLst>
            <a:ext uri="{FF2B5EF4-FFF2-40B4-BE49-F238E27FC236}">
              <a16:creationId xmlns:a16="http://schemas.microsoft.com/office/drawing/2014/main" id="{DBDF539F-E034-4058-91DA-A67BEAF1C0D2}"/>
            </a:ext>
          </a:extLst>
        </xdr:cNvPr>
        <xdr:cNvSpPr txBox="1"/>
      </xdr:nvSpPr>
      <xdr:spPr>
        <a:xfrm>
          <a:off x="561592" y="2618981"/>
          <a:ext cx="1217114" cy="177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85000"/>
                </a:schemeClr>
              </a:solidFill>
              <a:latin typeface="+mj-lt"/>
            </a:rPr>
            <a:t>Duration</a:t>
          </a:r>
          <a:endParaRPr lang="en-US" sz="1000">
            <a:solidFill>
              <a:schemeClr val="bg1">
                <a:lumMod val="85000"/>
              </a:schemeClr>
            </a:solidFill>
            <a:latin typeface="+mj-lt"/>
          </a:endParaRPr>
        </a:p>
      </xdr:txBody>
    </xdr:sp>
    <xdr:clientData/>
  </xdr:twoCellAnchor>
  <xdr:twoCellAnchor>
    <xdr:from>
      <xdr:col>2</xdr:col>
      <xdr:colOff>197598</xdr:colOff>
      <xdr:row>17</xdr:row>
      <xdr:rowOff>52852</xdr:rowOff>
    </xdr:from>
    <xdr:to>
      <xdr:col>3</xdr:col>
      <xdr:colOff>484728</xdr:colOff>
      <xdr:row>17</xdr:row>
      <xdr:rowOff>179852</xdr:rowOff>
    </xdr:to>
    <xdr:sp macro="" textlink="Pivots!C14">
      <xdr:nvSpPr>
        <xdr:cNvPr id="45" name="TextBox 44">
          <a:extLst>
            <a:ext uri="{FF2B5EF4-FFF2-40B4-BE49-F238E27FC236}">
              <a16:creationId xmlns:a16="http://schemas.microsoft.com/office/drawing/2014/main" id="{D4B678BC-85DA-4CB2-AA37-02C19CD24B60}"/>
            </a:ext>
          </a:extLst>
        </xdr:cNvPr>
        <xdr:cNvSpPr txBox="1"/>
      </xdr:nvSpPr>
      <xdr:spPr>
        <a:xfrm>
          <a:off x="695829" y="3208314"/>
          <a:ext cx="946553" cy="12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86B159-BB31-4821-9B2B-DB159B7160E4}" type="TxLink">
            <a:rPr lang="en-US" sz="1200" b="0" i="0" u="none" strike="noStrike">
              <a:solidFill>
                <a:schemeClr val="bg1">
                  <a:lumMod val="85000"/>
                </a:schemeClr>
              </a:solidFill>
              <a:latin typeface="Aptos"/>
              <a:ea typeface="+mn-ea"/>
              <a:cs typeface="+mn-cs"/>
            </a:rPr>
            <a:pPr marL="0" indent="0" algn="ctr"/>
            <a:t>16,834</a:t>
          </a:fld>
          <a:endParaRPr lang="en-US" sz="1200" b="0" i="0" u="none" strike="noStrike">
            <a:solidFill>
              <a:schemeClr val="bg1">
                <a:lumMod val="85000"/>
              </a:schemeClr>
            </a:solidFill>
            <a:latin typeface="Aptos"/>
            <a:ea typeface="+mn-ea"/>
            <a:cs typeface="+mn-cs"/>
          </a:endParaRPr>
        </a:p>
      </xdr:txBody>
    </xdr:sp>
    <xdr:clientData/>
  </xdr:twoCellAnchor>
  <xdr:twoCellAnchor>
    <xdr:from>
      <xdr:col>2</xdr:col>
      <xdr:colOff>241773</xdr:colOff>
      <xdr:row>15</xdr:row>
      <xdr:rowOff>91503</xdr:rowOff>
    </xdr:from>
    <xdr:to>
      <xdr:col>3</xdr:col>
      <xdr:colOff>512337</xdr:colOff>
      <xdr:row>17</xdr:row>
      <xdr:rowOff>3155</xdr:rowOff>
    </xdr:to>
    <xdr:sp macro="" textlink="Pivots!C4">
      <xdr:nvSpPr>
        <xdr:cNvPr id="46" name="TextBox 45">
          <a:extLst>
            <a:ext uri="{FF2B5EF4-FFF2-40B4-BE49-F238E27FC236}">
              <a16:creationId xmlns:a16="http://schemas.microsoft.com/office/drawing/2014/main" id="{3FDAC5DF-8E87-4DFA-9011-854F8CB19763}"/>
            </a:ext>
          </a:extLst>
        </xdr:cNvPr>
        <xdr:cNvSpPr txBox="1"/>
      </xdr:nvSpPr>
      <xdr:spPr>
        <a:xfrm>
          <a:off x="740004" y="2875734"/>
          <a:ext cx="929987" cy="282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C8377C-FBCF-42AB-B4D3-C90F53478A57}" type="TxLink">
            <a:rPr lang="en-US" sz="1400" b="0" i="0" u="none" strike="noStrike">
              <a:solidFill>
                <a:schemeClr val="bg1"/>
              </a:solidFill>
              <a:latin typeface="+mj-lt"/>
              <a:ea typeface="+mn-ea"/>
              <a:cs typeface="+mn-cs"/>
            </a:rPr>
            <a:pPr marL="0" indent="0" algn="ctr"/>
            <a:t>89,850</a:t>
          </a:fld>
          <a:endParaRPr lang="en-US" sz="1400" b="0" i="0" u="none" strike="noStrike">
            <a:solidFill>
              <a:schemeClr val="bg1"/>
            </a:solidFill>
            <a:latin typeface="+mj-lt"/>
            <a:ea typeface="+mn-ea"/>
            <a:cs typeface="+mn-cs"/>
          </a:endParaRPr>
        </a:p>
      </xdr:txBody>
    </xdr:sp>
    <xdr:clientData/>
  </xdr:twoCellAnchor>
  <xdr:twoCellAnchor>
    <xdr:from>
      <xdr:col>2</xdr:col>
      <xdr:colOff>0</xdr:colOff>
      <xdr:row>20</xdr:row>
      <xdr:rowOff>2859</xdr:rowOff>
    </xdr:from>
    <xdr:to>
      <xdr:col>4</xdr:col>
      <xdr:colOff>5127</xdr:colOff>
      <xdr:row>24</xdr:row>
      <xdr:rowOff>54429</xdr:rowOff>
    </xdr:to>
    <xdr:sp macro="" textlink="Pivots!C5">
      <xdr:nvSpPr>
        <xdr:cNvPr id="47" name="Rectangle 46">
          <a:extLst>
            <a:ext uri="{FF2B5EF4-FFF2-40B4-BE49-F238E27FC236}">
              <a16:creationId xmlns:a16="http://schemas.microsoft.com/office/drawing/2014/main" id="{89512EBC-E329-4C38-9F8C-F7A9C788B667}"/>
            </a:ext>
          </a:extLst>
        </xdr:cNvPr>
        <xdr:cNvSpPr/>
      </xdr:nvSpPr>
      <xdr:spPr>
        <a:xfrm>
          <a:off x="501805" y="3657981"/>
          <a:ext cx="1324688" cy="782594"/>
        </a:xfrm>
        <a:prstGeom prst="rect">
          <a:avLst/>
        </a:prstGeom>
        <a:solidFill>
          <a:schemeClr val="accent5">
            <a:lumMod val="75000"/>
          </a:schemeClr>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023B95-98F8-42E5-82B3-55BF1A628E90}" type="TxLink">
            <a:rPr lang="en-US" sz="2800" b="0" i="0" u="none" strike="noStrike">
              <a:solidFill>
                <a:schemeClr val="bg1"/>
              </a:solidFill>
              <a:latin typeface="+mj-lt"/>
            </a:rPr>
            <a:pPr algn="ctr"/>
            <a:t> </a:t>
          </a:fld>
          <a:endParaRPr lang="en-US" sz="2800">
            <a:solidFill>
              <a:schemeClr val="bg1"/>
            </a:solidFill>
            <a:latin typeface="+mj-lt"/>
          </a:endParaRPr>
        </a:p>
      </xdr:txBody>
    </xdr:sp>
    <xdr:clientData/>
  </xdr:twoCellAnchor>
  <xdr:twoCellAnchor>
    <xdr:from>
      <xdr:col>2</xdr:col>
      <xdr:colOff>8759</xdr:colOff>
      <xdr:row>20</xdr:row>
      <xdr:rowOff>55586</xdr:rowOff>
    </xdr:from>
    <xdr:to>
      <xdr:col>3</xdr:col>
      <xdr:colOff>498680</xdr:colOff>
      <xdr:row>21</xdr:row>
      <xdr:rowOff>42163</xdr:rowOff>
    </xdr:to>
    <xdr:sp macro="" textlink="">
      <xdr:nvSpPr>
        <xdr:cNvPr id="48" name="TextBox 47">
          <a:extLst>
            <a:ext uri="{FF2B5EF4-FFF2-40B4-BE49-F238E27FC236}">
              <a16:creationId xmlns:a16="http://schemas.microsoft.com/office/drawing/2014/main" id="{58DA8AC7-7E8C-4E27-A177-CF5349311DBE}"/>
            </a:ext>
          </a:extLst>
        </xdr:cNvPr>
        <xdr:cNvSpPr txBox="1"/>
      </xdr:nvSpPr>
      <xdr:spPr>
        <a:xfrm>
          <a:off x="508000" y="4093310"/>
          <a:ext cx="993542" cy="179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solidFill>
                <a:schemeClr val="bg1">
                  <a:lumMod val="85000"/>
                </a:schemeClr>
              </a:solidFill>
              <a:latin typeface="+mj-lt"/>
            </a:rPr>
            <a:t>Avg. Rating</a:t>
          </a:r>
          <a:endParaRPr lang="en-US" sz="800">
            <a:solidFill>
              <a:schemeClr val="bg1">
                <a:lumMod val="85000"/>
              </a:schemeClr>
            </a:solidFill>
            <a:latin typeface="+mj-lt"/>
          </a:endParaRPr>
        </a:p>
      </xdr:txBody>
    </xdr:sp>
    <xdr:clientData/>
  </xdr:twoCellAnchor>
  <xdr:twoCellAnchor>
    <xdr:from>
      <xdr:col>2</xdr:col>
      <xdr:colOff>197598</xdr:colOff>
      <xdr:row>23</xdr:row>
      <xdr:rowOff>52851</xdr:rowOff>
    </xdr:from>
    <xdr:to>
      <xdr:col>3</xdr:col>
      <xdr:colOff>484728</xdr:colOff>
      <xdr:row>23</xdr:row>
      <xdr:rowOff>179851</xdr:rowOff>
    </xdr:to>
    <xdr:sp macro="" textlink="Pivots!D14">
      <xdr:nvSpPr>
        <xdr:cNvPr id="50" name="TextBox 49">
          <a:extLst>
            <a:ext uri="{FF2B5EF4-FFF2-40B4-BE49-F238E27FC236}">
              <a16:creationId xmlns:a16="http://schemas.microsoft.com/office/drawing/2014/main" id="{754D634F-E205-496C-94EC-33F2659CBD33}"/>
            </a:ext>
          </a:extLst>
        </xdr:cNvPr>
        <xdr:cNvSpPr txBox="1"/>
      </xdr:nvSpPr>
      <xdr:spPr>
        <a:xfrm>
          <a:off x="695829" y="4322005"/>
          <a:ext cx="946553" cy="12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411271-F93E-4C53-92BC-CD1646C78E74}" type="TxLink">
            <a:rPr lang="en-US" sz="1200" b="0" i="0" u="none" strike="noStrike">
              <a:solidFill>
                <a:schemeClr val="bg1">
                  <a:lumMod val="85000"/>
                </a:schemeClr>
              </a:solidFill>
              <a:latin typeface="Aptos"/>
              <a:ea typeface="+mn-ea"/>
              <a:cs typeface="+mn-cs"/>
            </a:rPr>
            <a:pPr marL="0" indent="0" algn="ctr"/>
            <a:t>3.92</a:t>
          </a:fld>
          <a:endParaRPr lang="en-US" sz="1200" b="0" i="0" u="none" strike="noStrike">
            <a:solidFill>
              <a:schemeClr val="bg1">
                <a:lumMod val="85000"/>
              </a:schemeClr>
            </a:solidFill>
            <a:latin typeface="Aptos"/>
            <a:ea typeface="+mn-ea"/>
            <a:cs typeface="+mn-cs"/>
          </a:endParaRPr>
        </a:p>
      </xdr:txBody>
    </xdr:sp>
    <xdr:clientData/>
  </xdr:twoCellAnchor>
  <xdr:twoCellAnchor>
    <xdr:from>
      <xdr:col>2</xdr:col>
      <xdr:colOff>241773</xdr:colOff>
      <xdr:row>21</xdr:row>
      <xdr:rowOff>91503</xdr:rowOff>
    </xdr:from>
    <xdr:to>
      <xdr:col>3</xdr:col>
      <xdr:colOff>512337</xdr:colOff>
      <xdr:row>23</xdr:row>
      <xdr:rowOff>3154</xdr:rowOff>
    </xdr:to>
    <xdr:sp macro="" textlink="Pivots!D4">
      <xdr:nvSpPr>
        <xdr:cNvPr id="51" name="TextBox 50">
          <a:extLst>
            <a:ext uri="{FF2B5EF4-FFF2-40B4-BE49-F238E27FC236}">
              <a16:creationId xmlns:a16="http://schemas.microsoft.com/office/drawing/2014/main" id="{E98DFC42-D986-4788-B752-0D3AEF17D79A}"/>
            </a:ext>
          </a:extLst>
        </xdr:cNvPr>
        <xdr:cNvSpPr txBox="1"/>
      </xdr:nvSpPr>
      <xdr:spPr>
        <a:xfrm>
          <a:off x="740004" y="3989426"/>
          <a:ext cx="929987" cy="282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A11AF8-A20C-46F5-9D28-7490FDDFE321}" type="TxLink">
            <a:rPr lang="en-US" sz="2400" b="0" i="0" u="none" strike="noStrike">
              <a:solidFill>
                <a:schemeClr val="bg1"/>
              </a:solidFill>
              <a:latin typeface="+mj-lt"/>
              <a:ea typeface="+mn-ea"/>
              <a:cs typeface="+mn-cs"/>
            </a:rPr>
            <a:pPr marL="0" indent="0" algn="ctr"/>
            <a:t>3.89</a:t>
          </a:fld>
          <a:endParaRPr lang="en-US" sz="2400" b="0" i="0" u="none" strike="noStrike">
            <a:solidFill>
              <a:schemeClr val="bg1"/>
            </a:solidFill>
            <a:latin typeface="+mj-lt"/>
            <a:ea typeface="+mn-ea"/>
            <a:cs typeface="+mn-cs"/>
          </a:endParaRPr>
        </a:p>
      </xdr:txBody>
    </xdr:sp>
    <xdr:clientData/>
  </xdr:twoCellAnchor>
  <xdr:twoCellAnchor>
    <xdr:from>
      <xdr:col>2</xdr:col>
      <xdr:colOff>0</xdr:colOff>
      <xdr:row>26</xdr:row>
      <xdr:rowOff>0</xdr:rowOff>
    </xdr:from>
    <xdr:to>
      <xdr:col>4</xdr:col>
      <xdr:colOff>5127</xdr:colOff>
      <xdr:row>30</xdr:row>
      <xdr:rowOff>54429</xdr:rowOff>
    </xdr:to>
    <xdr:sp macro="" textlink="Pivots!C5">
      <xdr:nvSpPr>
        <xdr:cNvPr id="52" name="Rectangle 51">
          <a:extLst>
            <a:ext uri="{FF2B5EF4-FFF2-40B4-BE49-F238E27FC236}">
              <a16:creationId xmlns:a16="http://schemas.microsoft.com/office/drawing/2014/main" id="{1AE6573C-F9DE-41A2-B7A7-1E4D1D6B533B}"/>
            </a:ext>
          </a:extLst>
        </xdr:cNvPr>
        <xdr:cNvSpPr/>
      </xdr:nvSpPr>
      <xdr:spPr>
        <a:xfrm>
          <a:off x="498231" y="4826000"/>
          <a:ext cx="1323973" cy="796891"/>
        </a:xfrm>
        <a:prstGeom prst="rect">
          <a:avLst/>
        </a:prstGeom>
        <a:solidFill>
          <a:schemeClr val="accent5">
            <a:lumMod val="75000"/>
          </a:schemeClr>
        </a:solidFill>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023B95-98F8-42E5-82B3-55BF1A628E90}" type="TxLink">
            <a:rPr lang="en-US" sz="2800" b="0" i="0" u="none" strike="noStrike">
              <a:solidFill>
                <a:schemeClr val="bg1"/>
              </a:solidFill>
              <a:latin typeface="+mj-lt"/>
            </a:rPr>
            <a:pPr algn="ctr"/>
            <a:t> </a:t>
          </a:fld>
          <a:endParaRPr lang="en-US" sz="2800">
            <a:solidFill>
              <a:schemeClr val="bg1"/>
            </a:solidFill>
            <a:latin typeface="+mj-lt"/>
          </a:endParaRPr>
        </a:p>
      </xdr:txBody>
    </xdr:sp>
    <xdr:clientData/>
  </xdr:twoCellAnchor>
  <xdr:twoCellAnchor>
    <xdr:from>
      <xdr:col>1</xdr:col>
      <xdr:colOff>238440</xdr:colOff>
      <xdr:row>26</xdr:row>
      <xdr:rowOff>34497</xdr:rowOff>
    </xdr:from>
    <xdr:to>
      <xdr:col>4</xdr:col>
      <xdr:colOff>0</xdr:colOff>
      <xdr:row>27</xdr:row>
      <xdr:rowOff>28563</xdr:rowOff>
    </xdr:to>
    <xdr:sp macro="" textlink="">
      <xdr:nvSpPr>
        <xdr:cNvPr id="53" name="TextBox 52">
          <a:extLst>
            <a:ext uri="{FF2B5EF4-FFF2-40B4-BE49-F238E27FC236}">
              <a16:creationId xmlns:a16="http://schemas.microsoft.com/office/drawing/2014/main" id="{BE3BBB81-E2DF-44E7-9D68-B7556A741548}"/>
            </a:ext>
          </a:extLst>
        </xdr:cNvPr>
        <xdr:cNvSpPr txBox="1"/>
      </xdr:nvSpPr>
      <xdr:spPr>
        <a:xfrm>
          <a:off x="479302" y="5228359"/>
          <a:ext cx="1027181" cy="18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bg1">
                  <a:lumMod val="85000"/>
                </a:schemeClr>
              </a:solidFill>
              <a:latin typeface="+mj-lt"/>
            </a:rPr>
            <a:t>Happy Callers</a:t>
          </a:r>
          <a:endParaRPr lang="en-US" sz="700">
            <a:solidFill>
              <a:schemeClr val="bg1">
                <a:lumMod val="85000"/>
              </a:schemeClr>
            </a:solidFill>
            <a:latin typeface="+mj-lt"/>
          </a:endParaRPr>
        </a:p>
      </xdr:txBody>
    </xdr:sp>
    <xdr:clientData/>
  </xdr:twoCellAnchor>
  <xdr:twoCellAnchor>
    <xdr:from>
      <xdr:col>2</xdr:col>
      <xdr:colOff>197598</xdr:colOff>
      <xdr:row>29</xdr:row>
      <xdr:rowOff>52853</xdr:rowOff>
    </xdr:from>
    <xdr:to>
      <xdr:col>3</xdr:col>
      <xdr:colOff>484728</xdr:colOff>
      <xdr:row>29</xdr:row>
      <xdr:rowOff>179853</xdr:rowOff>
    </xdr:to>
    <xdr:sp macro="" textlink="Pivots!E14">
      <xdr:nvSpPr>
        <xdr:cNvPr id="55" name="TextBox 54">
          <a:extLst>
            <a:ext uri="{FF2B5EF4-FFF2-40B4-BE49-F238E27FC236}">
              <a16:creationId xmlns:a16="http://schemas.microsoft.com/office/drawing/2014/main" id="{887D322B-7528-43AD-B869-129FB9CE75E4}"/>
            </a:ext>
          </a:extLst>
        </xdr:cNvPr>
        <xdr:cNvSpPr txBox="1"/>
      </xdr:nvSpPr>
      <xdr:spPr>
        <a:xfrm>
          <a:off x="695829" y="5435699"/>
          <a:ext cx="946553" cy="12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3F709B-F77B-46B9-AE79-F309BF84830B}" type="TxLink">
            <a:rPr lang="en-US" sz="1200" b="0" i="0" u="none" strike="noStrike">
              <a:solidFill>
                <a:schemeClr val="bg1">
                  <a:lumMod val="85000"/>
                </a:schemeClr>
              </a:solidFill>
              <a:latin typeface="Aptos"/>
              <a:ea typeface="+mn-ea"/>
              <a:cs typeface="+mn-cs"/>
            </a:rPr>
            <a:pPr marL="0" indent="0" algn="ctr"/>
            <a:t>60</a:t>
          </a:fld>
          <a:endParaRPr lang="en-US" sz="1200" b="0" i="0" u="none" strike="noStrike">
            <a:solidFill>
              <a:schemeClr val="bg1">
                <a:lumMod val="85000"/>
              </a:schemeClr>
            </a:solidFill>
            <a:latin typeface="Aptos"/>
            <a:ea typeface="+mn-ea"/>
            <a:cs typeface="+mn-cs"/>
          </a:endParaRPr>
        </a:p>
      </xdr:txBody>
    </xdr:sp>
    <xdr:clientData/>
  </xdr:twoCellAnchor>
  <xdr:twoCellAnchor>
    <xdr:from>
      <xdr:col>2</xdr:col>
      <xdr:colOff>241773</xdr:colOff>
      <xdr:row>27</xdr:row>
      <xdr:rowOff>91504</xdr:rowOff>
    </xdr:from>
    <xdr:to>
      <xdr:col>3</xdr:col>
      <xdr:colOff>512337</xdr:colOff>
      <xdr:row>29</xdr:row>
      <xdr:rowOff>3156</xdr:rowOff>
    </xdr:to>
    <xdr:sp macro="" textlink="Pivots!E4">
      <xdr:nvSpPr>
        <xdr:cNvPr id="56" name="TextBox 55">
          <a:extLst>
            <a:ext uri="{FF2B5EF4-FFF2-40B4-BE49-F238E27FC236}">
              <a16:creationId xmlns:a16="http://schemas.microsoft.com/office/drawing/2014/main" id="{60C9D8D0-1D7E-473C-9221-0510E0526C2E}"/>
            </a:ext>
          </a:extLst>
        </xdr:cNvPr>
        <xdr:cNvSpPr txBox="1"/>
      </xdr:nvSpPr>
      <xdr:spPr>
        <a:xfrm>
          <a:off x="740004" y="5103119"/>
          <a:ext cx="929987" cy="282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15A155-FB05-431F-B6CC-BCE64B2267C5}" type="TxLink">
            <a:rPr lang="en-US" sz="2400" b="0" i="0" u="none" strike="noStrike">
              <a:solidFill>
                <a:schemeClr val="bg1"/>
              </a:solidFill>
              <a:latin typeface="+mj-lt"/>
              <a:ea typeface="+mn-ea"/>
              <a:cs typeface="+mn-cs"/>
            </a:rPr>
            <a:pPr marL="0" indent="0" algn="ctr"/>
            <a:t>307</a:t>
          </a:fld>
          <a:endParaRPr lang="en-US" sz="2400" b="0" i="0" u="none" strike="noStrike">
            <a:solidFill>
              <a:schemeClr val="bg1"/>
            </a:solidFill>
            <a:latin typeface="+mj-lt"/>
            <a:ea typeface="+mn-ea"/>
            <a:cs typeface="+mn-cs"/>
          </a:endParaRPr>
        </a:p>
      </xdr:txBody>
    </xdr:sp>
    <xdr:clientData/>
  </xdr:twoCellAnchor>
  <xdr:twoCellAnchor>
    <xdr:from>
      <xdr:col>9</xdr:col>
      <xdr:colOff>105832</xdr:colOff>
      <xdr:row>1</xdr:row>
      <xdr:rowOff>175380</xdr:rowOff>
    </xdr:from>
    <xdr:to>
      <xdr:col>12</xdr:col>
      <xdr:colOff>468312</xdr:colOff>
      <xdr:row>15</xdr:row>
      <xdr:rowOff>86782</xdr:rowOff>
    </xdr:to>
    <xdr:graphicFrame macro="">
      <xdr:nvGraphicFramePr>
        <xdr:cNvPr id="4" name="Chart 3">
          <a:extLst>
            <a:ext uri="{FF2B5EF4-FFF2-40B4-BE49-F238E27FC236}">
              <a16:creationId xmlns:a16="http://schemas.microsoft.com/office/drawing/2014/main" id="{55103828-4475-4802-A2BE-5672653AD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42492</xdr:colOff>
      <xdr:row>9</xdr:row>
      <xdr:rowOff>114585</xdr:rowOff>
    </xdr:from>
    <xdr:to>
      <xdr:col>2</xdr:col>
      <xdr:colOff>305563</xdr:colOff>
      <xdr:row>10</xdr:row>
      <xdr:rowOff>178154</xdr:rowOff>
    </xdr:to>
    <xdr:pic>
      <xdr:nvPicPr>
        <xdr:cNvPr id="57" name="Graphic 56" descr="Shopping cart with solid fill">
          <a:extLst>
            <a:ext uri="{FF2B5EF4-FFF2-40B4-BE49-F238E27FC236}">
              <a16:creationId xmlns:a16="http://schemas.microsoft.com/office/drawing/2014/main" id="{D943578C-C94B-4B90-97B9-1F32BC63439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3808" y="1768927"/>
          <a:ext cx="263071" cy="249502"/>
        </a:xfrm>
        <a:prstGeom prst="rect">
          <a:avLst/>
        </a:prstGeom>
      </xdr:spPr>
    </xdr:pic>
    <xdr:clientData/>
  </xdr:twoCellAnchor>
  <xdr:twoCellAnchor editAs="oneCell">
    <xdr:from>
      <xdr:col>2</xdr:col>
      <xdr:colOff>28170</xdr:colOff>
      <xdr:row>15</xdr:row>
      <xdr:rowOff>120316</xdr:rowOff>
    </xdr:from>
    <xdr:to>
      <xdr:col>2</xdr:col>
      <xdr:colOff>315186</xdr:colOff>
      <xdr:row>17</xdr:row>
      <xdr:rowOff>24741</xdr:rowOff>
    </xdr:to>
    <xdr:pic>
      <xdr:nvPicPr>
        <xdr:cNvPr id="58" name="Graphic 57" descr="Hourglass Finished with solid fill">
          <a:extLst>
            <a:ext uri="{FF2B5EF4-FFF2-40B4-BE49-F238E27FC236}">
              <a16:creationId xmlns:a16="http://schemas.microsoft.com/office/drawing/2014/main" id="{E3FBA7CC-10D1-4661-93DF-11869B46B1A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9486" y="2877553"/>
          <a:ext cx="287016" cy="283601"/>
        </a:xfrm>
        <a:prstGeom prst="rect">
          <a:avLst/>
        </a:prstGeom>
      </xdr:spPr>
    </xdr:pic>
    <xdr:clientData/>
  </xdr:twoCellAnchor>
  <xdr:twoCellAnchor editAs="oneCell">
    <xdr:from>
      <xdr:col>2</xdr:col>
      <xdr:colOff>51087</xdr:colOff>
      <xdr:row>27</xdr:row>
      <xdr:rowOff>76870</xdr:rowOff>
    </xdr:from>
    <xdr:to>
      <xdr:col>2</xdr:col>
      <xdr:colOff>382829</xdr:colOff>
      <xdr:row>29</xdr:row>
      <xdr:rowOff>12414</xdr:rowOff>
    </xdr:to>
    <xdr:pic>
      <xdr:nvPicPr>
        <xdr:cNvPr id="59" name="Graphic 58" descr="Star-struck face outline with solid fill">
          <a:extLst>
            <a:ext uri="{FF2B5EF4-FFF2-40B4-BE49-F238E27FC236}">
              <a16:creationId xmlns:a16="http://schemas.microsoft.com/office/drawing/2014/main" id="{DF856601-991C-49AC-A972-65E2B6ED73D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403" y="5039896"/>
          <a:ext cx="331742" cy="321320"/>
        </a:xfrm>
        <a:prstGeom prst="rect">
          <a:avLst/>
        </a:prstGeom>
      </xdr:spPr>
    </xdr:pic>
    <xdr:clientData/>
  </xdr:twoCellAnchor>
  <xdr:twoCellAnchor editAs="oneCell">
    <xdr:from>
      <xdr:col>2</xdr:col>
      <xdr:colOff>45358</xdr:colOff>
      <xdr:row>21</xdr:row>
      <xdr:rowOff>96444</xdr:rowOff>
    </xdr:from>
    <xdr:to>
      <xdr:col>2</xdr:col>
      <xdr:colOff>335643</xdr:colOff>
      <xdr:row>22</xdr:row>
      <xdr:rowOff>182156</xdr:rowOff>
    </xdr:to>
    <xdr:pic>
      <xdr:nvPicPr>
        <xdr:cNvPr id="60" name="Graphic 59" descr="Rating Star with solid fill">
          <a:extLst>
            <a:ext uri="{FF2B5EF4-FFF2-40B4-BE49-F238E27FC236}">
              <a16:creationId xmlns:a16="http://schemas.microsoft.com/office/drawing/2014/main" id="{3547A39B-8F1D-4516-9B38-7A8192DCFE5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546674" y="3956576"/>
          <a:ext cx="290285" cy="280986"/>
        </a:xfrm>
        <a:prstGeom prst="rect">
          <a:avLst/>
        </a:prstGeom>
      </xdr:spPr>
    </xdr:pic>
    <xdr:clientData/>
  </xdr:twoCellAnchor>
  <xdr:twoCellAnchor editAs="oneCell">
    <xdr:from>
      <xdr:col>4</xdr:col>
      <xdr:colOff>57150</xdr:colOff>
      <xdr:row>1</xdr:row>
      <xdr:rowOff>215900</xdr:rowOff>
    </xdr:from>
    <xdr:to>
      <xdr:col>6</xdr:col>
      <xdr:colOff>488950</xdr:colOff>
      <xdr:row>12</xdr:row>
      <xdr:rowOff>202291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952EF272-579F-4A8E-A17A-6AF8149FC28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562100" y="781050"/>
              <a:ext cx="1435100" cy="2113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11043</xdr:colOff>
      <xdr:row>2</xdr:row>
      <xdr:rowOff>11043</xdr:rowOff>
    </xdr:from>
    <xdr:to>
      <xdr:col>23</xdr:col>
      <xdr:colOff>621581</xdr:colOff>
      <xdr:row>11</xdr:row>
      <xdr:rowOff>142720</xdr:rowOff>
    </xdr:to>
    <xdr:graphicFrame macro="">
      <xdr:nvGraphicFramePr>
        <xdr:cNvPr id="3" name="Call Trend">
          <a:extLst>
            <a:ext uri="{FF2B5EF4-FFF2-40B4-BE49-F238E27FC236}">
              <a16:creationId xmlns:a16="http://schemas.microsoft.com/office/drawing/2014/main" id="{4EA54BD7-D870-432E-9288-C20D5C7EA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84666</xdr:colOff>
      <xdr:row>16</xdr:row>
      <xdr:rowOff>0</xdr:rowOff>
    </xdr:from>
    <xdr:to>
      <xdr:col>16</xdr:col>
      <xdr:colOff>369453</xdr:colOff>
      <xdr:row>30</xdr:row>
      <xdr:rowOff>115454</xdr:rowOff>
    </xdr:to>
    <xdr:sp macro="" textlink="">
      <xdr:nvSpPr>
        <xdr:cNvPr id="7" name="Rectangle 6">
          <a:extLst>
            <a:ext uri="{FF2B5EF4-FFF2-40B4-BE49-F238E27FC236}">
              <a16:creationId xmlns:a16="http://schemas.microsoft.com/office/drawing/2014/main" id="{E61702DC-14AF-4073-391D-6DD668E7C8DC}"/>
            </a:ext>
          </a:extLst>
        </xdr:cNvPr>
        <xdr:cNvSpPr/>
      </xdr:nvSpPr>
      <xdr:spPr>
        <a:xfrm>
          <a:off x="4120444" y="2998611"/>
          <a:ext cx="3770231" cy="2782454"/>
        </a:xfrm>
        <a:prstGeom prst="rect">
          <a:avLst/>
        </a:prstGeom>
        <a:solidFill>
          <a:schemeClr val="bg1"/>
        </a:solidFill>
        <a:ln w="1270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63500</xdr:colOff>
      <xdr:row>16</xdr:row>
      <xdr:rowOff>63500</xdr:rowOff>
    </xdr:from>
    <xdr:to>
      <xdr:col>12</xdr:col>
      <xdr:colOff>105834</xdr:colOff>
      <xdr:row>30</xdr:row>
      <xdr:rowOff>39586</xdr:rowOff>
    </xdr:to>
    <xdr:graphicFrame macro="">
      <xdr:nvGraphicFramePr>
        <xdr:cNvPr id="5" name="Chart 4">
          <a:extLst>
            <a:ext uri="{FF2B5EF4-FFF2-40B4-BE49-F238E27FC236}">
              <a16:creationId xmlns:a16="http://schemas.microsoft.com/office/drawing/2014/main" id="{8D9E7600-FC39-447D-9591-5D9EA5D3F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254000</xdr:colOff>
      <xdr:row>16</xdr:row>
      <xdr:rowOff>151158</xdr:rowOff>
    </xdr:from>
    <xdr:to>
      <xdr:col>16</xdr:col>
      <xdr:colOff>289278</xdr:colOff>
      <xdr:row>30</xdr:row>
      <xdr:rowOff>11995</xdr:rowOff>
    </xdr:to>
    <xdr:graphicFrame macro="">
      <xdr:nvGraphicFramePr>
        <xdr:cNvPr id="6" name="Chart 5">
          <a:extLst>
            <a:ext uri="{FF2B5EF4-FFF2-40B4-BE49-F238E27FC236}">
              <a16:creationId xmlns:a16="http://schemas.microsoft.com/office/drawing/2014/main" id="{444DCFE3-E7F9-40AF-9ABA-4E266B07C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69850</xdr:colOff>
      <xdr:row>1</xdr:row>
      <xdr:rowOff>162278</xdr:rowOff>
    </xdr:from>
    <xdr:to>
      <xdr:col>16</xdr:col>
      <xdr:colOff>368300</xdr:colOff>
      <xdr:row>15</xdr:row>
      <xdr:rowOff>76200</xdr:rowOff>
    </xdr:to>
    <xdr:graphicFrame macro="">
      <xdr:nvGraphicFramePr>
        <xdr:cNvPr id="8" name="Chart 7">
          <a:extLst>
            <a:ext uri="{FF2B5EF4-FFF2-40B4-BE49-F238E27FC236}">
              <a16:creationId xmlns:a16="http://schemas.microsoft.com/office/drawing/2014/main" id="{18FAACB1-E3CF-4CD2-8B7F-30B4649D5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243320</xdr:colOff>
      <xdr:row>14</xdr:row>
      <xdr:rowOff>56444</xdr:rowOff>
    </xdr:from>
    <xdr:to>
      <xdr:col>8</xdr:col>
      <xdr:colOff>323273</xdr:colOff>
      <xdr:row>30</xdr:row>
      <xdr:rowOff>103909</xdr:rowOff>
    </xdr:to>
    <xdr:graphicFrame macro="">
      <xdr:nvGraphicFramePr>
        <xdr:cNvPr id="10" name="Chart 9">
          <a:extLst>
            <a:ext uri="{FF2B5EF4-FFF2-40B4-BE49-F238E27FC236}">
              <a16:creationId xmlns:a16="http://schemas.microsoft.com/office/drawing/2014/main" id="{F3A3845B-2BF6-453B-A267-8C943BD6B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1.618868634258" backgroundQuery="1" createdVersion="8" refreshedVersion="8" minRefreshableVersion="3" recordCount="0" supportSubquery="1" supportAdvancedDrill="1" xr:uid="{F8A32280-3560-4B3C-B3C5-7BDAFF55B2AE}">
  <cacheSource type="external" connectionId="1"/>
  <cacheFields count="4">
    <cacheField name="[calls].[Call number].[Call number]" caption="Call number" numFmtId="0" level="1">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2" memberValueDatatype="130" unbalanced="0">
      <fieldsUsage count="2">
        <fieldUsage x="-1"/>
        <fieldUsage x="0"/>
      </fieldsUsage>
    </cacheHierarchy>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1.618869560189" backgroundQuery="1" createdVersion="8" refreshedVersion="8" minRefreshableVersion="3" recordCount="0" supportSubquery="1" supportAdvancedDrill="1" xr:uid="{5C3A6CE2-E52D-4A13-A3CC-0E19E21FB206}">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1.61887071759" backgroundQuery="1" createdVersion="8" refreshedVersion="8" minRefreshableVersion="3" recordCount="0" supportSubquery="1" supportAdvancedDrill="1" xr:uid="{53FED1C1-0BE3-46DA-AE3A-E12432B1D8C8}">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1.619232060184" backgroundQuery="1" createdVersion="8" refreshedVersion="8" minRefreshableVersion="3" recordCount="0" supportSubquery="1" supportAdvancedDrill="1" xr:uid="{43AB55A9-74F2-4579-9BD1-E4AB6DB07DD9}">
  <cacheSource type="external" connectionId="1"/>
  <cacheFields count="4">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0"/>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2.577500578707" backgroundQuery="1" createdVersion="8" refreshedVersion="8" minRefreshableVersion="3" recordCount="0" supportSubquery="1" supportAdvancedDrill="1" xr:uid="{20ED14E7-3A87-4F7D-B4D1-1DD35525705B}">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2.577501041669" backgroundQuery="1" createdVersion="8" refreshedVersion="8" minRefreshableVersion="3" recordCount="0" supportSubquery="1" supportAdvancedDrill="1" xr:uid="{3D45A7E7-38DB-4D5E-9F62-EE50BF7D3D54}">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2.577501388892" backgroundQuery="1" createdVersion="8" refreshedVersion="8" minRefreshableVersion="3" recordCount="0" supportSubquery="1" supportAdvancedDrill="1" xr:uid="{E2222047-D5A5-4339-9064-F2B26E683FF7}">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2.577501736108" backgroundQuery="1" createdVersion="8" refreshedVersion="8" minRefreshableVersion="3" recordCount="0" supportSubquery="1" supportAdvancedDrill="1" xr:uid="{E023B6FC-A320-4E5E-A55F-F13BCB3F9FCA}">
  <cacheSource type="external" connectionId="1"/>
  <cacheFields count="1">
    <cacheField name="[calls].[Representative].[Representative]" caption="Representative" numFmtId="0" hierarchy="3" level="1">
      <sharedItems count="1">
        <s v="R01"/>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2.577502083332" backgroundQuery="1" createdVersion="8" refreshedVersion="8" minRefreshableVersion="3" recordCount="0" supportSubquery="1" supportAdvancedDrill="1" xr:uid="{AB253A20-BA49-4E4A-85DD-7A32AF6E3BB1}">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MN" refreshedDate="45911.618871180559" backgroundQuery="1" createdVersion="3" refreshedVersion="8" minRefreshableVersion="3" recordCount="0" supportSubquery="1" supportAdvancedDrill="1" xr:uid="{1F35874D-21DC-4A33-88E7-41150BA68DD5}">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3160300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BDC54C-CEB3-4EEB-B65F-F8B1EFCF2F67}" name="Rep Amount"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62:Q81" firstHeaderRow="1" firstDataRow="2"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1"/>
    <field x="0"/>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DB2227-78A6-48E0-BC86-C072A47A995C}" name="Rept summary Pivot" cacheId="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CA1799-BB85-4DCE-9214-AA7425B3D7E8}"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3A1F54-31F9-4AB0-9CB8-DF58DFA8E900}" name="Rep Satisfaction rating rounded"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62:I6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AB496D-9F0F-40CF-B704-5CC84AB789AE}" name="Selected Rep Pivot" cacheId="5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B52:B5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8">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E279B8-B4D7-4806-9C70-45145EF00BA3}" name="Monthly Trend" cacheId="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22:C3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all Count" fld="3" subtotal="count" baseField="2"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all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387035-F223-4E9E-9DF4-835C66333B40}" name="Male vs Female Callers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2:D6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A5831A-EE62-4E0E-9845-41C5EBD70F78}" name="Reps Call and Amount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2:D48" firstHeaderRow="0" firstDataRow="1" firstDataCol="1"/>
  <pivotFields count="4">
    <pivotField name="Reps Pivot" allDrilled="1" subtotalTop="0" showAll="0" dataSourceSort="1" defaultSubtotal="0" defaultAttributeDrillState="1">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1"/>
  </rowFields>
  <rowItems count="6">
    <i>
      <x/>
    </i>
    <i>
      <x v="1"/>
    </i>
    <i>
      <x v="2"/>
    </i>
    <i>
      <x v="3"/>
    </i>
    <i>
      <x v="4"/>
    </i>
    <i t="grand">
      <x/>
    </i>
  </rowItems>
  <colFields count="1">
    <field x="-2"/>
  </colFields>
  <colItems count="2">
    <i>
      <x/>
    </i>
    <i i="1">
      <x v="1"/>
    </i>
  </colItems>
  <dataFields count="2">
    <dataField fld="2" subtotal="count" baseField="0" baseItem="0"/>
    <dataField fld="3"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84F3E1-746C-4A14-8AC4-3D4A3638B6A1}" name="Weekday Trend"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H22:I30" firstHeaderRow="1" firstDataRow="1" firstDataCol="1"/>
  <pivotFields count="3">
    <pivotField name="Week day tren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F413A9C-16B4-47E6-84F7-035238180C66}" sourceName="[calls].[Representative]">
  <pivotTables>
    <pivotTable tabId="6" name="Rept summary Pivot"/>
    <pivotTable tabId="6" name="Monthly Trend"/>
    <pivotTable tabId="6" name="Weekday Trend"/>
    <pivotTable tabId="6" name="Selected Rep Pivot"/>
    <pivotTable tabId="6" name="Rep Satisfaction rating rounded"/>
  </pivotTables>
  <data>
    <olap pivotCacheId="131603004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9C693F3-51A1-410A-9C64-C55BF9D10680}" cache="Slicer_Representative" caption="Representative" level="1" style="SlicerStyleDark5 9"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PTOS">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923C7-9D47-40EE-8C16-9267B656F524}">
  <dimension ref="A1:Z40"/>
  <sheetViews>
    <sheetView tabSelected="1" zoomScaleNormal="100" workbookViewId="0">
      <selection activeCell="C1" sqref="C1:X1"/>
    </sheetView>
  </sheetViews>
  <sheetFormatPr defaultRowHeight="14.5" x14ac:dyDescent="0.35"/>
  <cols>
    <col min="1" max="1" width="3.1640625" customWidth="1"/>
    <col min="2" max="2" width="3.4140625" customWidth="1"/>
    <col min="3" max="6" width="6.58203125" customWidth="1"/>
    <col min="7" max="7" width="7.25" customWidth="1"/>
    <col min="8" max="8" width="6.58203125" customWidth="1"/>
    <col min="9" max="10" width="6.25" customWidth="1"/>
    <col min="11" max="17" width="6.58203125" customWidth="1"/>
    <col min="18" max="18" width="9.58203125" bestFit="1" customWidth="1"/>
    <col min="19" max="24" width="6.6640625" bestFit="1" customWidth="1"/>
  </cols>
  <sheetData>
    <row r="1" spans="1:26" ht="44.5" customHeight="1" thickBot="1" x14ac:dyDescent="0.4">
      <c r="A1" s="20"/>
      <c r="B1" s="20"/>
      <c r="C1" s="44" t="s">
        <v>1082</v>
      </c>
      <c r="D1" s="45"/>
      <c r="E1" s="45"/>
      <c r="F1" s="45"/>
      <c r="G1" s="45"/>
      <c r="H1" s="45"/>
      <c r="I1" s="45"/>
      <c r="J1" s="45"/>
      <c r="K1" s="45"/>
      <c r="L1" s="45"/>
      <c r="M1" s="45"/>
      <c r="N1" s="45"/>
      <c r="O1" s="45"/>
      <c r="P1" s="45"/>
      <c r="Q1" s="45"/>
      <c r="R1" s="45"/>
      <c r="S1" s="45"/>
      <c r="T1" s="45"/>
      <c r="U1" s="45"/>
      <c r="V1" s="45"/>
      <c r="W1" s="45"/>
      <c r="X1" s="46"/>
      <c r="Y1" s="20"/>
      <c r="Z1" s="20"/>
    </row>
    <row r="2" spans="1:26" ht="17.5" customHeight="1" thickBot="1" x14ac:dyDescent="0.4">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ht="15" thickBot="1" x14ac:dyDescent="0.4">
      <c r="A3" s="20"/>
      <c r="B3" s="20"/>
      <c r="C3" s="20"/>
      <c r="D3" s="20"/>
      <c r="E3" s="20"/>
      <c r="F3" s="20"/>
      <c r="G3" s="20"/>
      <c r="H3" s="42" t="str">
        <f>Pivots!L52</f>
        <v>%of calls Taken: 19%</v>
      </c>
      <c r="I3" s="43"/>
      <c r="J3" s="20"/>
      <c r="K3" s="20"/>
      <c r="L3" s="20"/>
      <c r="M3" s="20"/>
      <c r="N3" s="20"/>
      <c r="O3" s="20"/>
      <c r="P3" s="20"/>
      <c r="Q3" s="20"/>
      <c r="R3" s="20"/>
      <c r="S3" s="20"/>
      <c r="T3" s="20"/>
      <c r="U3" s="20"/>
      <c r="V3" s="20"/>
      <c r="W3" s="20"/>
      <c r="X3" s="20"/>
      <c r="Y3" s="20"/>
      <c r="Z3" s="20"/>
    </row>
    <row r="4" spans="1:26" ht="15" thickBot="1" x14ac:dyDescent="0.4">
      <c r="A4" s="20"/>
      <c r="B4" s="20"/>
      <c r="C4" s="20"/>
      <c r="D4" s="20"/>
      <c r="E4" s="20"/>
      <c r="F4" s="20"/>
      <c r="G4" s="20"/>
      <c r="H4" s="42"/>
      <c r="I4" s="43"/>
      <c r="J4" s="20"/>
      <c r="K4" s="20"/>
      <c r="L4" s="20"/>
      <c r="M4" s="20"/>
      <c r="N4" s="20"/>
      <c r="O4" s="20"/>
      <c r="P4" s="20"/>
      <c r="Q4" s="20"/>
      <c r="R4" s="20"/>
      <c r="S4" s="20"/>
      <c r="T4" s="20"/>
      <c r="U4" s="20"/>
      <c r="V4" s="20"/>
      <c r="W4" s="20"/>
      <c r="X4" s="20"/>
      <c r="Y4" s="20"/>
      <c r="Z4" s="20"/>
    </row>
    <row r="5" spans="1:26" ht="15" thickBot="1" x14ac:dyDescent="0.4">
      <c r="A5" s="20"/>
      <c r="B5" s="20"/>
      <c r="C5" s="20"/>
      <c r="D5" s="20"/>
      <c r="E5" s="20"/>
      <c r="F5" s="20"/>
      <c r="G5" s="20"/>
      <c r="H5" s="42"/>
      <c r="I5" s="43"/>
      <c r="J5" s="20"/>
      <c r="K5" s="20"/>
      <c r="L5" s="20"/>
      <c r="M5" s="20"/>
      <c r="N5" s="20"/>
      <c r="O5" s="20"/>
      <c r="P5" s="20"/>
      <c r="Q5" s="20"/>
      <c r="R5" s="20"/>
      <c r="S5" s="20"/>
      <c r="T5" s="20"/>
      <c r="U5" s="20"/>
      <c r="V5" s="20"/>
      <c r="W5" s="20"/>
      <c r="X5" s="20"/>
      <c r="Y5" s="20"/>
      <c r="Z5" s="20"/>
    </row>
    <row r="6" spans="1:26" ht="15" thickBot="1" x14ac:dyDescent="0.4">
      <c r="A6" s="20"/>
      <c r="B6" s="20"/>
      <c r="C6" s="20"/>
      <c r="D6" s="20"/>
      <c r="E6" s="20"/>
      <c r="F6" s="20"/>
      <c r="G6" s="20"/>
      <c r="H6" s="42"/>
      <c r="I6" s="43"/>
      <c r="J6" s="20"/>
      <c r="K6" s="20"/>
      <c r="L6" s="20"/>
      <c r="M6" s="20"/>
      <c r="N6" s="20"/>
      <c r="O6" s="20"/>
      <c r="P6" s="20"/>
      <c r="Q6" s="20"/>
      <c r="R6" s="20"/>
      <c r="S6" s="20"/>
      <c r="T6" s="20"/>
      <c r="U6" s="20"/>
      <c r="V6" s="20"/>
      <c r="W6" s="20"/>
      <c r="X6" s="20"/>
      <c r="Y6" s="20"/>
      <c r="Z6" s="20"/>
    </row>
    <row r="7" spans="1:26" ht="15" thickBot="1" x14ac:dyDescent="0.4">
      <c r="A7" s="20"/>
      <c r="B7" s="20"/>
      <c r="C7" s="20"/>
      <c r="D7" s="20"/>
      <c r="E7" s="20"/>
      <c r="F7" s="20"/>
      <c r="G7" s="20"/>
      <c r="H7" s="42" t="str">
        <f>Pivots!L53</f>
        <v>Call Rank: 4</v>
      </c>
      <c r="I7" s="43"/>
      <c r="J7" s="20"/>
      <c r="K7" s="20"/>
      <c r="L7" s="20"/>
      <c r="M7" s="20"/>
      <c r="N7" s="20"/>
      <c r="O7" s="20"/>
      <c r="P7" s="20"/>
      <c r="Q7" s="20"/>
      <c r="R7" s="20"/>
      <c r="S7" s="20"/>
      <c r="T7" s="20"/>
      <c r="U7" s="20"/>
      <c r="V7" s="20"/>
      <c r="W7" s="20"/>
      <c r="X7" s="20"/>
      <c r="Y7" s="20"/>
      <c r="Z7" s="20"/>
    </row>
    <row r="8" spans="1:26" ht="15" thickBot="1" x14ac:dyDescent="0.4">
      <c r="A8" s="20"/>
      <c r="B8" s="20"/>
      <c r="C8" s="20"/>
      <c r="D8" s="20"/>
      <c r="E8" s="20"/>
      <c r="F8" s="20"/>
      <c r="G8" s="20"/>
      <c r="H8" s="42"/>
      <c r="I8" s="43"/>
      <c r="J8" s="20"/>
      <c r="K8" s="20"/>
      <c r="L8" s="20"/>
      <c r="M8" s="20"/>
      <c r="N8" s="20"/>
      <c r="O8" s="20"/>
      <c r="P8" s="20"/>
      <c r="Q8" s="20"/>
      <c r="R8" s="20"/>
      <c r="S8" s="20"/>
      <c r="T8" s="20"/>
      <c r="U8" s="20"/>
      <c r="V8" s="20"/>
      <c r="W8" s="20"/>
      <c r="X8" s="20"/>
      <c r="Y8" s="20"/>
      <c r="Z8" s="20"/>
    </row>
    <row r="9" spans="1:26" ht="15" thickBot="1" x14ac:dyDescent="0.4">
      <c r="A9" s="20"/>
      <c r="B9" s="20"/>
      <c r="C9" s="20"/>
      <c r="D9" s="20"/>
      <c r="E9" s="20"/>
      <c r="F9" s="20"/>
      <c r="G9" s="20"/>
      <c r="H9" s="42"/>
      <c r="I9" s="43"/>
      <c r="J9" s="20"/>
      <c r="K9" s="20"/>
      <c r="L9" s="20"/>
      <c r="M9" s="20"/>
      <c r="N9" s="20"/>
      <c r="O9" s="20"/>
      <c r="P9" s="20"/>
      <c r="Q9" s="20"/>
      <c r="R9" s="20"/>
      <c r="S9" s="20"/>
      <c r="T9" s="20"/>
      <c r="U9" s="20"/>
      <c r="V9" s="20"/>
      <c r="W9" s="20"/>
      <c r="X9" s="20"/>
      <c r="Y9" s="20"/>
      <c r="Z9" s="20"/>
    </row>
    <row r="10" spans="1:26" ht="15" thickBot="1" x14ac:dyDescent="0.4">
      <c r="A10" s="20"/>
      <c r="B10" s="20"/>
      <c r="C10" s="20"/>
      <c r="D10" s="20"/>
      <c r="E10" s="20"/>
      <c r="F10" s="20"/>
      <c r="G10" s="20"/>
      <c r="H10" s="42" t="str">
        <f>Pivots!L54</f>
        <v>Amount Rank: 4</v>
      </c>
      <c r="I10" s="43"/>
      <c r="J10" s="20"/>
      <c r="K10" s="20"/>
      <c r="L10" s="20"/>
      <c r="M10" s="20"/>
      <c r="N10" s="20"/>
      <c r="O10" s="20"/>
      <c r="P10" s="20"/>
      <c r="Q10" s="20"/>
      <c r="R10" s="20"/>
      <c r="S10" s="20"/>
      <c r="T10" s="20"/>
      <c r="U10" s="20"/>
      <c r="V10" s="20"/>
      <c r="W10" s="20"/>
      <c r="X10" s="20"/>
      <c r="Y10" s="20"/>
      <c r="Z10" s="20"/>
    </row>
    <row r="11" spans="1:26" ht="15" thickBot="1" x14ac:dyDescent="0.4">
      <c r="A11" s="20"/>
      <c r="B11" s="20"/>
      <c r="C11" s="20"/>
      <c r="D11" s="20"/>
      <c r="E11" s="20"/>
      <c r="F11" s="20"/>
      <c r="G11" s="20"/>
      <c r="H11" s="42"/>
      <c r="I11" s="43"/>
      <c r="J11" s="20"/>
      <c r="K11" s="20"/>
      <c r="L11" s="20"/>
      <c r="M11" s="20"/>
      <c r="N11" s="20"/>
      <c r="O11" s="20"/>
      <c r="P11" s="20"/>
      <c r="Q11" s="20"/>
      <c r="R11" s="20"/>
      <c r="S11" s="20"/>
      <c r="T11" s="20"/>
      <c r="U11" s="20"/>
      <c r="V11" s="20"/>
      <c r="W11" s="20"/>
      <c r="X11" s="20"/>
      <c r="Y11" s="20"/>
      <c r="Z11" s="20"/>
    </row>
    <row r="12" spans="1:26" ht="15" thickBot="1" x14ac:dyDescent="0.4">
      <c r="A12" s="20"/>
      <c r="B12" s="20"/>
      <c r="C12" s="20"/>
      <c r="D12" s="20"/>
      <c r="E12" s="20"/>
      <c r="F12" s="20"/>
      <c r="G12" s="20"/>
      <c r="H12" s="42"/>
      <c r="I12" s="43"/>
      <c r="J12" s="20"/>
      <c r="K12" s="20"/>
      <c r="L12" s="20"/>
      <c r="M12" s="20"/>
      <c r="N12" s="20"/>
      <c r="O12" s="20"/>
      <c r="P12" s="20"/>
      <c r="Q12" s="20"/>
      <c r="R12" s="20"/>
      <c r="S12" s="20"/>
      <c r="T12" s="20"/>
      <c r="U12" s="20"/>
      <c r="V12" s="20"/>
      <c r="W12" s="20"/>
      <c r="X12" s="20"/>
      <c r="Y12" s="20"/>
      <c r="Z12" s="20"/>
    </row>
    <row r="13" spans="1:26" ht="17" thickTop="1" thickBot="1" x14ac:dyDescent="0.45">
      <c r="A13" s="20"/>
      <c r="B13" s="20"/>
      <c r="C13" s="20"/>
      <c r="D13" s="20"/>
      <c r="E13" s="20"/>
      <c r="F13" s="20"/>
      <c r="G13" s="20"/>
      <c r="H13" s="42"/>
      <c r="I13" s="43"/>
      <c r="J13" s="20"/>
      <c r="K13" s="20"/>
      <c r="L13" s="20"/>
      <c r="M13" s="20"/>
      <c r="N13" s="20"/>
      <c r="O13" s="20"/>
      <c r="P13" s="20"/>
      <c r="Q13" s="20"/>
      <c r="R13" s="40" t="s">
        <v>997</v>
      </c>
      <c r="S13" s="35" t="str" cm="1">
        <f t="array" ref="S13:W13">Pivots!L63:P63</f>
        <v>R01</v>
      </c>
      <c r="T13" s="35" t="str">
        <v>R02</v>
      </c>
      <c r="U13" s="35" t="str">
        <v>R03</v>
      </c>
      <c r="V13" s="35" t="str">
        <v>R04</v>
      </c>
      <c r="W13" s="35" t="str">
        <v>R05</v>
      </c>
      <c r="X13" s="39" t="s">
        <v>1075</v>
      </c>
      <c r="Y13" s="20"/>
      <c r="Z13" s="20"/>
    </row>
    <row r="14" spans="1:26" ht="15" thickBot="1" x14ac:dyDescent="0.4">
      <c r="A14" s="20"/>
      <c r="B14" s="20"/>
      <c r="C14" s="20"/>
      <c r="D14" s="20"/>
      <c r="E14" s="20"/>
      <c r="F14" s="20"/>
      <c r="G14" s="20"/>
      <c r="H14" s="20"/>
      <c r="I14" s="20"/>
      <c r="J14" s="20"/>
      <c r="K14" s="20"/>
      <c r="L14" s="20"/>
      <c r="M14" s="20"/>
      <c r="N14" s="20"/>
      <c r="O14" s="20"/>
      <c r="P14" s="20"/>
      <c r="Q14" s="20"/>
      <c r="R14" s="30" t="str" cm="1">
        <f t="array" ref="R14:X31">IF(Pivots!K64:Q81="","",Pivots!K64:Q81)</f>
        <v>Cincinnati</v>
      </c>
      <c r="S14" s="20" t="str">
        <v/>
      </c>
      <c r="T14" s="20" t="str">
        <v/>
      </c>
      <c r="U14" s="20" t="str">
        <v/>
      </c>
      <c r="V14" s="20" t="str">
        <v/>
      </c>
      <c r="W14" s="20" t="str">
        <v/>
      </c>
      <c r="X14" s="37" t="str">
        <v/>
      </c>
      <c r="Y14" s="20"/>
      <c r="Z14" s="20"/>
    </row>
    <row r="15" spans="1:26" ht="15" thickBot="1" x14ac:dyDescent="0.4">
      <c r="A15" s="20"/>
      <c r="B15" s="20"/>
      <c r="C15" s="20"/>
      <c r="D15" s="20"/>
      <c r="E15" s="20"/>
      <c r="F15" s="20"/>
      <c r="G15" s="20"/>
      <c r="H15" s="20"/>
      <c r="I15" s="41"/>
      <c r="J15" s="20"/>
      <c r="K15" s="20"/>
      <c r="L15" s="20"/>
      <c r="M15" s="20"/>
      <c r="N15" s="20"/>
      <c r="O15" s="20"/>
      <c r="P15" s="20"/>
      <c r="Q15" s="20"/>
      <c r="R15" s="31" t="str">
        <v>C0003</v>
      </c>
      <c r="S15" s="32">
        <v>891</v>
      </c>
      <c r="T15" s="32">
        <v>1332</v>
      </c>
      <c r="U15" s="32">
        <v>1282</v>
      </c>
      <c r="V15" s="32">
        <v>739</v>
      </c>
      <c r="W15" s="32">
        <v>560</v>
      </c>
      <c r="X15" s="38">
        <v>4804</v>
      </c>
      <c r="Y15" s="20"/>
      <c r="Z15" s="20"/>
    </row>
    <row r="16" spans="1:26" ht="15" thickBot="1" x14ac:dyDescent="0.4">
      <c r="A16" s="20"/>
      <c r="B16" s="20"/>
      <c r="C16" s="20"/>
      <c r="D16" s="20"/>
      <c r="E16" s="20"/>
      <c r="F16" s="20"/>
      <c r="G16" s="20"/>
      <c r="H16" s="20"/>
      <c r="I16" s="20"/>
      <c r="J16" s="20"/>
      <c r="K16" s="20"/>
      <c r="L16" s="20"/>
      <c r="M16" s="20"/>
      <c r="N16" s="20"/>
      <c r="O16" s="20"/>
      <c r="P16" s="20"/>
      <c r="Q16" s="20"/>
      <c r="R16" s="31" t="str">
        <v>C0004</v>
      </c>
      <c r="S16" s="32">
        <v>1991</v>
      </c>
      <c r="T16" s="32">
        <v>1886</v>
      </c>
      <c r="U16" s="32">
        <v>1206</v>
      </c>
      <c r="V16" s="32">
        <v>884</v>
      </c>
      <c r="W16" s="32">
        <v>1722</v>
      </c>
      <c r="X16" s="38">
        <v>7689</v>
      </c>
      <c r="Y16" s="20"/>
      <c r="Z16" s="20"/>
    </row>
    <row r="17" spans="1:26" ht="15" thickBot="1" x14ac:dyDescent="0.4">
      <c r="A17" s="20"/>
      <c r="B17" s="20"/>
      <c r="C17" s="20"/>
      <c r="D17" s="20"/>
      <c r="E17" s="20"/>
      <c r="F17" s="20"/>
      <c r="G17" s="20"/>
      <c r="H17" s="20"/>
      <c r="I17" s="20"/>
      <c r="J17" s="20"/>
      <c r="K17" s="20"/>
      <c r="L17" s="20"/>
      <c r="M17" s="20"/>
      <c r="N17" s="20"/>
      <c r="O17" s="20"/>
      <c r="P17" s="20"/>
      <c r="Q17" s="20"/>
      <c r="R17" s="31" t="str">
        <v>C0011</v>
      </c>
      <c r="S17" s="32">
        <v>1163</v>
      </c>
      <c r="T17" s="32">
        <v>1180</v>
      </c>
      <c r="U17" s="32">
        <v>1616</v>
      </c>
      <c r="V17" s="32">
        <v>1043</v>
      </c>
      <c r="W17" s="32">
        <v>1747</v>
      </c>
      <c r="X17" s="38">
        <v>6749</v>
      </c>
      <c r="Y17" s="20"/>
      <c r="Z17" s="20"/>
    </row>
    <row r="18" spans="1:26" ht="15" thickBot="1" x14ac:dyDescent="0.4">
      <c r="A18" s="20"/>
      <c r="B18" s="20"/>
      <c r="C18" s="20"/>
      <c r="D18" s="20"/>
      <c r="E18" s="20"/>
      <c r="F18" s="20"/>
      <c r="G18" s="20"/>
      <c r="H18" s="20"/>
      <c r="I18" s="20"/>
      <c r="J18" s="20"/>
      <c r="K18" s="20"/>
      <c r="L18" s="20"/>
      <c r="M18" s="20"/>
      <c r="N18" s="20"/>
      <c r="O18" s="20"/>
      <c r="P18" s="20"/>
      <c r="Q18" s="20"/>
      <c r="R18" s="31" t="str">
        <v>C0012</v>
      </c>
      <c r="S18" s="32">
        <v>1438</v>
      </c>
      <c r="T18" s="32">
        <v>1616</v>
      </c>
      <c r="U18" s="32">
        <v>866</v>
      </c>
      <c r="V18" s="32">
        <v>829</v>
      </c>
      <c r="W18" s="32">
        <v>2070</v>
      </c>
      <c r="X18" s="38">
        <v>6819</v>
      </c>
      <c r="Y18" s="20"/>
      <c r="Z18" s="20"/>
    </row>
    <row r="19" spans="1:26" ht="15" thickBot="1" x14ac:dyDescent="0.4">
      <c r="A19" s="20"/>
      <c r="B19" s="20"/>
      <c r="C19" s="20"/>
      <c r="D19" s="20"/>
      <c r="E19" s="20"/>
      <c r="F19" s="20"/>
      <c r="G19" s="20"/>
      <c r="H19" s="20"/>
      <c r="I19" s="20"/>
      <c r="J19" s="20"/>
      <c r="K19" s="20"/>
      <c r="L19" s="20"/>
      <c r="M19" s="20"/>
      <c r="N19" s="20"/>
      <c r="O19" s="20"/>
      <c r="P19" s="20"/>
      <c r="Q19" s="20"/>
      <c r="R19" s="30" t="str">
        <v>Cleveland</v>
      </c>
      <c r="S19" s="32" t="str">
        <v/>
      </c>
      <c r="T19" s="32" t="str">
        <v/>
      </c>
      <c r="U19" s="32" t="str">
        <v/>
      </c>
      <c r="V19" s="32" t="str">
        <v/>
      </c>
      <c r="W19" s="32" t="str">
        <v/>
      </c>
      <c r="X19" s="38" t="str">
        <v/>
      </c>
      <c r="Y19" s="20"/>
      <c r="Z19" s="20"/>
    </row>
    <row r="20" spans="1:26" ht="15" thickBot="1" x14ac:dyDescent="0.4">
      <c r="A20" s="20"/>
      <c r="B20" s="20"/>
      <c r="C20" s="20"/>
      <c r="D20" s="20"/>
      <c r="E20" s="20"/>
      <c r="F20" s="20"/>
      <c r="G20" s="20"/>
      <c r="H20" s="20"/>
      <c r="I20" s="20"/>
      <c r="J20" s="20"/>
      <c r="K20" s="20"/>
      <c r="L20" s="20"/>
      <c r="M20" s="20"/>
      <c r="N20" s="20"/>
      <c r="O20" s="20"/>
      <c r="P20" s="20"/>
      <c r="Q20" s="20"/>
      <c r="R20" s="31" t="str">
        <v>C0002</v>
      </c>
      <c r="S20" s="32">
        <v>1233</v>
      </c>
      <c r="T20" s="32">
        <v>223</v>
      </c>
      <c r="U20" s="32">
        <v>1680</v>
      </c>
      <c r="V20" s="32">
        <v>990</v>
      </c>
      <c r="W20" s="32">
        <v>1508</v>
      </c>
      <c r="X20" s="38">
        <v>5634</v>
      </c>
      <c r="Y20" s="20"/>
      <c r="Z20" s="20"/>
    </row>
    <row r="21" spans="1:26" ht="15" thickBot="1" x14ac:dyDescent="0.4">
      <c r="A21" s="20"/>
      <c r="B21" s="20"/>
      <c r="C21" s="20"/>
      <c r="D21" s="20"/>
      <c r="E21" s="20"/>
      <c r="F21" s="20"/>
      <c r="G21" s="20"/>
      <c r="H21" s="20"/>
      <c r="I21" s="20"/>
      <c r="J21" s="20"/>
      <c r="K21" s="20"/>
      <c r="L21" s="20"/>
      <c r="M21" s="20"/>
      <c r="N21" s="20"/>
      <c r="O21" s="20"/>
      <c r="P21" s="20"/>
      <c r="Q21" s="20"/>
      <c r="R21" s="31" t="str">
        <v>C0007</v>
      </c>
      <c r="S21" s="32">
        <v>1598</v>
      </c>
      <c r="T21" s="32">
        <v>1907</v>
      </c>
      <c r="U21" s="32">
        <v>869</v>
      </c>
      <c r="V21" s="32">
        <v>1426</v>
      </c>
      <c r="W21" s="32">
        <v>1416</v>
      </c>
      <c r="X21" s="38">
        <v>7216</v>
      </c>
      <c r="Y21" s="20"/>
      <c r="Z21" s="20"/>
    </row>
    <row r="22" spans="1:26" ht="15" thickBot="1" x14ac:dyDescent="0.4">
      <c r="A22" s="20"/>
      <c r="B22" s="20"/>
      <c r="C22" s="20"/>
      <c r="D22" s="20"/>
      <c r="E22" s="20"/>
      <c r="F22" s="20"/>
      <c r="G22" s="20"/>
      <c r="H22" s="20"/>
      <c r="I22" s="20"/>
      <c r="J22" s="20"/>
      <c r="K22" s="20"/>
      <c r="L22" s="20"/>
      <c r="M22" s="20"/>
      <c r="N22" s="20"/>
      <c r="O22" s="20"/>
      <c r="P22" s="20"/>
      <c r="Q22" s="20"/>
      <c r="R22" s="31" t="str">
        <v>C0008</v>
      </c>
      <c r="S22" s="32">
        <v>900</v>
      </c>
      <c r="T22" s="32">
        <v>1016</v>
      </c>
      <c r="U22" s="32">
        <v>960</v>
      </c>
      <c r="V22" s="32">
        <v>940</v>
      </c>
      <c r="W22" s="32">
        <v>1193</v>
      </c>
      <c r="X22" s="38">
        <v>5009</v>
      </c>
      <c r="Y22" s="20"/>
      <c r="Z22" s="20"/>
    </row>
    <row r="23" spans="1:26" ht="15" thickBot="1" x14ac:dyDescent="0.4">
      <c r="A23" s="20"/>
      <c r="B23" s="20"/>
      <c r="C23" s="20"/>
      <c r="D23" s="20"/>
      <c r="E23" s="20"/>
      <c r="F23" s="20"/>
      <c r="G23" s="20"/>
      <c r="H23" s="20"/>
      <c r="I23" s="20"/>
      <c r="J23" s="20"/>
      <c r="K23" s="20"/>
      <c r="L23" s="20"/>
      <c r="M23" s="20"/>
      <c r="N23" s="20"/>
      <c r="O23" s="20"/>
      <c r="P23" s="20"/>
      <c r="Q23" s="20"/>
      <c r="R23" s="31" t="str">
        <v>C0010</v>
      </c>
      <c r="S23" s="32">
        <v>900</v>
      </c>
      <c r="T23" s="32">
        <v>1470</v>
      </c>
      <c r="U23" s="32">
        <v>1617</v>
      </c>
      <c r="V23" s="32">
        <v>1314</v>
      </c>
      <c r="W23" s="32">
        <v>941</v>
      </c>
      <c r="X23" s="38">
        <v>6242</v>
      </c>
      <c r="Y23" s="20"/>
      <c r="Z23" s="20"/>
    </row>
    <row r="24" spans="1:26" ht="15" thickBot="1" x14ac:dyDescent="0.4">
      <c r="A24" s="20"/>
      <c r="B24" s="20"/>
      <c r="C24" s="20"/>
      <c r="D24" s="20"/>
      <c r="E24" s="20"/>
      <c r="F24" s="20"/>
      <c r="G24" s="20"/>
      <c r="H24" s="20"/>
      <c r="I24" s="20"/>
      <c r="J24" s="20"/>
      <c r="K24" s="20"/>
      <c r="L24" s="20"/>
      <c r="M24" s="20"/>
      <c r="N24" s="20"/>
      <c r="O24" s="20"/>
      <c r="P24" s="20"/>
      <c r="Q24" s="20"/>
      <c r="R24" s="31" t="str">
        <v>C0013</v>
      </c>
      <c r="S24" s="32">
        <v>1255</v>
      </c>
      <c r="T24" s="32">
        <v>516</v>
      </c>
      <c r="U24" s="32">
        <v>1874</v>
      </c>
      <c r="V24" s="32">
        <v>1863</v>
      </c>
      <c r="W24" s="32">
        <v>1722</v>
      </c>
      <c r="X24" s="38">
        <v>7230</v>
      </c>
      <c r="Y24" s="20"/>
      <c r="Z24" s="20"/>
    </row>
    <row r="25" spans="1:26" ht="15" thickBot="1" x14ac:dyDescent="0.4">
      <c r="A25" s="20"/>
      <c r="B25" s="20"/>
      <c r="C25" s="20"/>
      <c r="D25" s="20"/>
      <c r="E25" s="20"/>
      <c r="F25" s="20"/>
      <c r="G25" s="20"/>
      <c r="H25" s="20"/>
      <c r="I25" s="20"/>
      <c r="J25" s="20"/>
      <c r="K25" s="20"/>
      <c r="L25" s="20"/>
      <c r="M25" s="20"/>
      <c r="N25" s="20"/>
      <c r="O25" s="20"/>
      <c r="P25" s="20"/>
      <c r="Q25" s="20"/>
      <c r="R25" s="31" t="str">
        <v>C0015</v>
      </c>
      <c r="S25" s="32">
        <v>1138</v>
      </c>
      <c r="T25" s="32">
        <v>1898</v>
      </c>
      <c r="U25" s="32">
        <v>1482</v>
      </c>
      <c r="V25" s="32">
        <v>846</v>
      </c>
      <c r="W25" s="32">
        <v>1154</v>
      </c>
      <c r="X25" s="38">
        <v>6518</v>
      </c>
      <c r="Y25" s="20"/>
      <c r="Z25" s="20"/>
    </row>
    <row r="26" spans="1:26" ht="15" thickBot="1" x14ac:dyDescent="0.4">
      <c r="A26" s="20"/>
      <c r="B26" s="20"/>
      <c r="C26" s="20"/>
      <c r="D26" s="20"/>
      <c r="E26" s="20"/>
      <c r="F26" s="20"/>
      <c r="G26" s="20"/>
      <c r="H26" s="20"/>
      <c r="I26" s="20"/>
      <c r="J26" s="20"/>
      <c r="K26" s="20"/>
      <c r="L26" s="20"/>
      <c r="M26" s="20"/>
      <c r="N26" s="20"/>
      <c r="O26" s="20"/>
      <c r="P26" s="20"/>
      <c r="Q26" s="20"/>
      <c r="R26" s="30" t="str">
        <v>Columbus</v>
      </c>
      <c r="S26" s="32" t="str">
        <v/>
      </c>
      <c r="T26" s="32" t="str">
        <v/>
      </c>
      <c r="U26" s="32" t="str">
        <v/>
      </c>
      <c r="V26" s="32" t="str">
        <v/>
      </c>
      <c r="W26" s="32" t="str">
        <v/>
      </c>
      <c r="X26" s="38" t="str">
        <v/>
      </c>
      <c r="Y26" s="20"/>
      <c r="Z26" s="20"/>
    </row>
    <row r="27" spans="1:26" ht="15" thickBot="1" x14ac:dyDescent="0.4">
      <c r="A27" s="20"/>
      <c r="B27" s="20"/>
      <c r="C27" s="20"/>
      <c r="D27" s="20"/>
      <c r="E27" s="20"/>
      <c r="F27" s="20"/>
      <c r="G27" s="20"/>
      <c r="H27" s="20"/>
      <c r="I27" s="20"/>
      <c r="J27" s="20"/>
      <c r="K27" s="20"/>
      <c r="L27" s="20"/>
      <c r="M27" s="20"/>
      <c r="N27" s="20"/>
      <c r="O27" s="20"/>
      <c r="P27" s="20"/>
      <c r="Q27" s="20"/>
      <c r="R27" s="31" t="str">
        <v>C0001</v>
      </c>
      <c r="S27" s="32">
        <v>1655</v>
      </c>
      <c r="T27" s="32">
        <v>805</v>
      </c>
      <c r="U27" s="32">
        <v>2263</v>
      </c>
      <c r="V27" s="32">
        <v>987</v>
      </c>
      <c r="W27" s="32">
        <v>1075</v>
      </c>
      <c r="X27" s="38">
        <v>6785</v>
      </c>
      <c r="Y27" s="20"/>
      <c r="Z27" s="20"/>
    </row>
    <row r="28" spans="1:26" ht="15" thickBot="1" x14ac:dyDescent="0.4">
      <c r="A28" s="20"/>
      <c r="B28" s="20"/>
      <c r="C28" s="20"/>
      <c r="D28" s="20"/>
      <c r="E28" s="20"/>
      <c r="F28" s="20"/>
      <c r="G28" s="20"/>
      <c r="H28" s="20"/>
      <c r="I28" s="20"/>
      <c r="J28" s="20"/>
      <c r="K28" s="20"/>
      <c r="L28" s="20"/>
      <c r="M28" s="20"/>
      <c r="N28" s="20"/>
      <c r="O28" s="20"/>
      <c r="P28" s="20"/>
      <c r="Q28" s="20"/>
      <c r="R28" s="31" t="str">
        <v>C0005</v>
      </c>
      <c r="S28" s="32">
        <v>1104</v>
      </c>
      <c r="T28" s="32">
        <v>2280</v>
      </c>
      <c r="U28" s="32">
        <v>1445</v>
      </c>
      <c r="V28" s="32">
        <v>1722</v>
      </c>
      <c r="W28" s="32">
        <v>1196</v>
      </c>
      <c r="X28" s="38">
        <v>7747</v>
      </c>
      <c r="Y28" s="20"/>
      <c r="Z28" s="20"/>
    </row>
    <row r="29" spans="1:26" ht="15" thickBot="1" x14ac:dyDescent="0.4">
      <c r="A29" s="20"/>
      <c r="B29" s="20"/>
      <c r="C29" s="20"/>
      <c r="D29" s="20"/>
      <c r="E29" s="20"/>
      <c r="F29" s="20"/>
      <c r="G29" s="20"/>
      <c r="H29" s="20"/>
      <c r="I29" s="20"/>
      <c r="J29" s="20"/>
      <c r="K29" s="20"/>
      <c r="L29" s="20"/>
      <c r="M29" s="20"/>
      <c r="N29" s="20"/>
      <c r="O29" s="20"/>
      <c r="P29" s="20"/>
      <c r="Q29" s="20"/>
      <c r="R29" s="31" t="str">
        <v>C0006</v>
      </c>
      <c r="S29" s="32">
        <v>372</v>
      </c>
      <c r="T29" s="32">
        <v>1818</v>
      </c>
      <c r="U29" s="32">
        <v>1346</v>
      </c>
      <c r="V29" s="32">
        <v>1156</v>
      </c>
      <c r="W29" s="32">
        <v>1484</v>
      </c>
      <c r="X29" s="38">
        <v>6176</v>
      </c>
      <c r="Y29" s="20"/>
      <c r="Z29" s="20"/>
    </row>
    <row r="30" spans="1:26" ht="15" thickBot="1" x14ac:dyDescent="0.4">
      <c r="A30" s="20"/>
      <c r="B30" s="20"/>
      <c r="C30" s="20"/>
      <c r="D30" s="20"/>
      <c r="E30" s="20"/>
      <c r="F30" s="20"/>
      <c r="G30" s="20"/>
      <c r="H30" s="20"/>
      <c r="I30" s="20"/>
      <c r="J30" s="20"/>
      <c r="K30" s="20"/>
      <c r="L30" s="20"/>
      <c r="M30" s="20"/>
      <c r="N30" s="20"/>
      <c r="O30" s="20"/>
      <c r="P30" s="20"/>
      <c r="Q30" s="20"/>
      <c r="R30" s="31" t="str">
        <v>C0009</v>
      </c>
      <c r="S30" s="32">
        <v>1415</v>
      </c>
      <c r="T30" s="32">
        <v>1271</v>
      </c>
      <c r="U30" s="32">
        <v>1214</v>
      </c>
      <c r="V30" s="32">
        <v>1135</v>
      </c>
      <c r="W30" s="32">
        <v>1566</v>
      </c>
      <c r="X30" s="38">
        <v>6601</v>
      </c>
      <c r="Y30" s="20"/>
      <c r="Z30" s="20"/>
    </row>
    <row r="31" spans="1:26" ht="15" thickBot="1" x14ac:dyDescent="0.4">
      <c r="A31" s="20"/>
      <c r="B31" s="20"/>
      <c r="C31" s="20"/>
      <c r="D31" s="20"/>
      <c r="E31" s="20"/>
      <c r="F31" s="20"/>
      <c r="G31" s="20"/>
      <c r="H31" s="20"/>
      <c r="I31" s="20"/>
      <c r="J31" s="20"/>
      <c r="K31" s="20"/>
      <c r="L31" s="20"/>
      <c r="M31" s="20"/>
      <c r="N31" s="20"/>
      <c r="O31" s="20"/>
      <c r="P31" s="20"/>
      <c r="Q31" s="20"/>
      <c r="R31" s="33" t="str">
        <v>C0014</v>
      </c>
      <c r="S31" s="34">
        <v>1362</v>
      </c>
      <c r="T31" s="34">
        <v>1363</v>
      </c>
      <c r="U31" s="34">
        <v>1152</v>
      </c>
      <c r="V31" s="34">
        <v>777</v>
      </c>
      <c r="W31" s="34">
        <v>750</v>
      </c>
      <c r="X31" s="38">
        <v>5404</v>
      </c>
      <c r="Y31" s="20"/>
      <c r="Z31" s="20"/>
    </row>
    <row r="32" spans="1:26" ht="15" thickTop="1" x14ac:dyDescent="0.3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x14ac:dyDescent="0.3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x14ac:dyDescent="0.3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x14ac:dyDescent="0.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x14ac:dyDescent="0.3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x14ac:dyDescent="0.3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40" spans="1:26" x14ac:dyDescent="0.35">
      <c r="F40" s="47" t="s">
        <v>1083</v>
      </c>
      <c r="G40" s="47"/>
      <c r="H40" s="47"/>
      <c r="I40" s="47"/>
      <c r="J40" s="47"/>
      <c r="K40" s="47"/>
      <c r="L40" s="47"/>
      <c r="M40" s="47"/>
      <c r="N40" s="47"/>
      <c r="O40" s="47"/>
      <c r="P40" s="47"/>
      <c r="Q40" s="47"/>
      <c r="R40" s="47"/>
      <c r="S40" s="47"/>
      <c r="T40" s="47"/>
    </row>
  </sheetData>
  <mergeCells count="5">
    <mergeCell ref="H7:I9"/>
    <mergeCell ref="H10:I13"/>
    <mergeCell ref="C1:X1"/>
    <mergeCell ref="H3:I6"/>
    <mergeCell ref="F40:T40"/>
  </mergeCells>
  <conditionalFormatting sqref="S15:W31">
    <cfRule type="dataBar" priority="3">
      <dataBar>
        <cfvo type="num" val="0"/>
        <cfvo type="formula" val="MAX($S$15:$W$31)*2"/>
        <color theme="1" tint="4.9989318521683403E-2"/>
      </dataBar>
      <extLst>
        <ext xmlns:x14="http://schemas.microsoft.com/office/spreadsheetml/2009/9/main" uri="{B025F937-C7B1-47D3-B67F-A62EFF666E3E}">
          <x14:id>{1A180D1B-78D9-4B34-B4F7-E2950346DFBC}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D0153481-1898-4DD4-8A8C-2E02AEAAC481}">
            <xm:f>S$13=Pivots!$B$53</xm:f>
            <x14:dxf>
              <fill>
                <patternFill>
                  <bgColor theme="8" tint="0.59996337778862885"/>
                </patternFill>
              </fill>
              <border>
                <left style="thin">
                  <color theme="0" tint="-0.499984740745262"/>
                </left>
                <right style="thin">
                  <color theme="0" tint="-0.499984740745262"/>
                </right>
                <top style="thin">
                  <color theme="0" tint="-0.499984740745262"/>
                </top>
                <bottom style="thin">
                  <color theme="0" tint="-0.499984740745262"/>
                </bottom>
                <vertical/>
                <horizontal/>
              </border>
            </x14:dxf>
          </x14:cfRule>
          <xm:sqref>S13:W31</xm:sqref>
        </x14:conditionalFormatting>
        <x14:conditionalFormatting xmlns:xm="http://schemas.microsoft.com/office/excel/2006/main">
          <x14:cfRule type="dataBar" id="{1A180D1B-78D9-4B34-B4F7-E2950346DFBC}">
            <x14:dataBar minLength="0" maxLength="100" gradient="0">
              <x14:cfvo type="num">
                <xm:f>0</xm:f>
              </x14:cfvo>
              <x14:cfvo type="formula">
                <xm:f>MAX($S$15:$W$31)*2</xm:f>
              </x14:cfvo>
              <x14:negativeFillColor rgb="FFFF0000"/>
              <x14:axisColor rgb="FF000000"/>
            </x14:dataBar>
          </x14:cfRule>
          <xm:sqref>S15:W31</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2FD76-90DB-4B78-848B-AB80DFE23FBF}">
  <dimension ref="A3:Q81"/>
  <sheetViews>
    <sheetView topLeftCell="A52" zoomScale="60" zoomScaleNormal="60" workbookViewId="0">
      <selection activeCell="Q44" sqref="Q44"/>
    </sheetView>
  </sheetViews>
  <sheetFormatPr defaultRowHeight="14.5" x14ac:dyDescent="0.35"/>
  <cols>
    <col min="1" max="2" width="13.83203125" bestFit="1" customWidth="1"/>
    <col min="3" max="3" width="10.83203125" bestFit="1" customWidth="1"/>
    <col min="4" max="4" width="9.5" bestFit="1" customWidth="1"/>
    <col min="5" max="5" width="7.4140625" bestFit="1" customWidth="1"/>
    <col min="8" max="8" width="13.83203125" bestFit="1" customWidth="1"/>
    <col min="9" max="9" width="9.83203125" bestFit="1" customWidth="1"/>
    <col min="10" max="10" width="12.83203125" bestFit="1" customWidth="1"/>
    <col min="11" max="11" width="13.83203125" bestFit="1" customWidth="1"/>
    <col min="12" max="12" width="17.1640625" bestFit="1" customWidth="1"/>
    <col min="13" max="16" width="6.33203125" bestFit="1" customWidth="1"/>
    <col min="17" max="17" width="10.6640625" bestFit="1" customWidth="1"/>
  </cols>
  <sheetData>
    <row r="3" spans="1:5" x14ac:dyDescent="0.35">
      <c r="A3" t="s">
        <v>1040</v>
      </c>
      <c r="B3" t="s">
        <v>1041</v>
      </c>
      <c r="C3" t="s">
        <v>1042</v>
      </c>
      <c r="D3" t="s">
        <v>1043</v>
      </c>
      <c r="E3" t="s">
        <v>1044</v>
      </c>
    </row>
    <row r="4" spans="1:5" x14ac:dyDescent="0.35">
      <c r="A4" s="21">
        <v>1000</v>
      </c>
      <c r="B4" s="22">
        <v>96623</v>
      </c>
      <c r="C4" s="21">
        <v>89850</v>
      </c>
      <c r="D4" s="24">
        <v>3.8854000000000033</v>
      </c>
      <c r="E4" s="23">
        <v>307</v>
      </c>
    </row>
    <row r="13" spans="1:5" x14ac:dyDescent="0.35">
      <c r="A13" t="s">
        <v>1040</v>
      </c>
      <c r="B13" t="s">
        <v>1041</v>
      </c>
      <c r="C13" t="s">
        <v>1042</v>
      </c>
      <c r="D13" t="s">
        <v>1043</v>
      </c>
      <c r="E13" t="s">
        <v>1044</v>
      </c>
    </row>
    <row r="14" spans="1:5" x14ac:dyDescent="0.35">
      <c r="A14" s="21">
        <v>189</v>
      </c>
      <c r="B14" s="22">
        <v>18415</v>
      </c>
      <c r="C14" s="21">
        <v>16834</v>
      </c>
      <c r="D14" s="24">
        <v>3.9227513227513247</v>
      </c>
      <c r="E14" s="23">
        <v>60</v>
      </c>
    </row>
    <row r="22" spans="1:9" x14ac:dyDescent="0.35">
      <c r="A22" s="25" t="s">
        <v>1045</v>
      </c>
      <c r="B22" t="s">
        <v>1040</v>
      </c>
      <c r="C22" t="s">
        <v>1059</v>
      </c>
      <c r="H22" s="25" t="s">
        <v>1045</v>
      </c>
      <c r="I22" t="s">
        <v>1040</v>
      </c>
    </row>
    <row r="23" spans="1:9" x14ac:dyDescent="0.35">
      <c r="A23" s="26" t="s">
        <v>1047</v>
      </c>
      <c r="B23" s="21">
        <v>16</v>
      </c>
      <c r="C23" s="21">
        <v>16</v>
      </c>
      <c r="H23" s="26" t="s">
        <v>1063</v>
      </c>
      <c r="I23" s="21">
        <v>36</v>
      </c>
    </row>
    <row r="24" spans="1:9" x14ac:dyDescent="0.35">
      <c r="A24" s="26" t="s">
        <v>1048</v>
      </c>
      <c r="B24" s="21">
        <v>14</v>
      </c>
      <c r="C24" s="21">
        <v>14</v>
      </c>
      <c r="H24" s="26" t="s">
        <v>1061</v>
      </c>
      <c r="I24" s="21">
        <v>30</v>
      </c>
    </row>
    <row r="25" spans="1:9" x14ac:dyDescent="0.35">
      <c r="A25" s="26" t="s">
        <v>1049</v>
      </c>
      <c r="B25" s="21">
        <v>26</v>
      </c>
      <c r="C25" s="21">
        <v>26</v>
      </c>
      <c r="H25" s="26" t="s">
        <v>1065</v>
      </c>
      <c r="I25" s="21">
        <v>13</v>
      </c>
    </row>
    <row r="26" spans="1:9" x14ac:dyDescent="0.35">
      <c r="A26" s="26" t="s">
        <v>1050</v>
      </c>
      <c r="B26" s="21">
        <v>29</v>
      </c>
      <c r="C26" s="21">
        <v>29</v>
      </c>
      <c r="H26" s="26" t="s">
        <v>1066</v>
      </c>
      <c r="I26" s="21">
        <v>23</v>
      </c>
    </row>
    <row r="27" spans="1:9" x14ac:dyDescent="0.35">
      <c r="A27" s="26" t="s">
        <v>1051</v>
      </c>
      <c r="B27" s="21">
        <v>17</v>
      </c>
      <c r="C27" s="21">
        <v>17</v>
      </c>
      <c r="H27" s="26" t="s">
        <v>1064</v>
      </c>
      <c r="I27" s="21">
        <v>23</v>
      </c>
    </row>
    <row r="28" spans="1:9" x14ac:dyDescent="0.35">
      <c r="A28" s="26" t="s">
        <v>1052</v>
      </c>
      <c r="B28" s="21">
        <v>15</v>
      </c>
      <c r="C28" s="21">
        <v>15</v>
      </c>
      <c r="H28" s="26" t="s">
        <v>1060</v>
      </c>
      <c r="I28" s="21">
        <v>24</v>
      </c>
    </row>
    <row r="29" spans="1:9" x14ac:dyDescent="0.35">
      <c r="A29" s="26" t="s">
        <v>1053</v>
      </c>
      <c r="B29" s="21">
        <v>15</v>
      </c>
      <c r="C29" s="21">
        <v>15</v>
      </c>
      <c r="H29" s="26" t="s">
        <v>1062</v>
      </c>
      <c r="I29" s="21">
        <v>40</v>
      </c>
    </row>
    <row r="30" spans="1:9" x14ac:dyDescent="0.35">
      <c r="A30" s="26" t="s">
        <v>1054</v>
      </c>
      <c r="B30" s="21">
        <v>7</v>
      </c>
      <c r="C30" s="21">
        <v>7</v>
      </c>
      <c r="H30" s="26" t="s">
        <v>1046</v>
      </c>
      <c r="I30" s="21">
        <v>189</v>
      </c>
    </row>
    <row r="31" spans="1:9" x14ac:dyDescent="0.35">
      <c r="A31" s="26" t="s">
        <v>1055</v>
      </c>
      <c r="B31" s="21">
        <v>11</v>
      </c>
      <c r="C31" s="21">
        <v>11</v>
      </c>
    </row>
    <row r="32" spans="1:9" x14ac:dyDescent="0.35">
      <c r="A32" s="26" t="s">
        <v>1056</v>
      </c>
      <c r="B32" s="21">
        <v>24</v>
      </c>
      <c r="C32" s="21">
        <v>24</v>
      </c>
    </row>
    <row r="33" spans="1:12" x14ac:dyDescent="0.35">
      <c r="A33" s="26" t="s">
        <v>1057</v>
      </c>
      <c r="B33" s="21">
        <v>9</v>
      </c>
      <c r="C33" s="21">
        <v>9</v>
      </c>
    </row>
    <row r="34" spans="1:12" x14ac:dyDescent="0.35">
      <c r="A34" s="26" t="s">
        <v>1058</v>
      </c>
      <c r="B34" s="21">
        <v>6</v>
      </c>
      <c r="C34" s="21">
        <v>6</v>
      </c>
    </row>
    <row r="35" spans="1:12" x14ac:dyDescent="0.35">
      <c r="A35" s="26" t="s">
        <v>1046</v>
      </c>
      <c r="B35" s="21">
        <v>189</v>
      </c>
      <c r="C35" s="21">
        <v>189</v>
      </c>
    </row>
    <row r="39" spans="1:12" x14ac:dyDescent="0.35">
      <c r="J39" t="s">
        <v>1073</v>
      </c>
      <c r="K39" t="str">
        <f>B53</f>
        <v>R01</v>
      </c>
    </row>
    <row r="40" spans="1:12" x14ac:dyDescent="0.35">
      <c r="H40" t="s">
        <v>1067</v>
      </c>
    </row>
    <row r="42" spans="1:12" x14ac:dyDescent="0.35">
      <c r="B42" s="25" t="s">
        <v>1045</v>
      </c>
      <c r="C42" t="s">
        <v>1040</v>
      </c>
      <c r="D42" t="s">
        <v>1041</v>
      </c>
      <c r="H42" t="s">
        <v>1068</v>
      </c>
      <c r="I42" t="s">
        <v>1069</v>
      </c>
      <c r="J42" t="s">
        <v>1070</v>
      </c>
      <c r="K42" t="s">
        <v>1071</v>
      </c>
      <c r="L42" t="s">
        <v>1072</v>
      </c>
    </row>
    <row r="43" spans="1:12" x14ac:dyDescent="0.35">
      <c r="B43" s="26" t="s">
        <v>11</v>
      </c>
      <c r="C43" s="21">
        <v>189</v>
      </c>
      <c r="D43" s="22">
        <v>18415</v>
      </c>
      <c r="H43" t="str" cm="1">
        <f t="array" ref="H43:J47">B43:D47</f>
        <v>R01</v>
      </c>
      <c r="I43">
        <v>189</v>
      </c>
      <c r="J43" s="27">
        <v>18415</v>
      </c>
      <c r="K43">
        <f>IF(H43=$K$39,I43,NA())</f>
        <v>189</v>
      </c>
      <c r="L43">
        <f>IF(H43=$K$39,J43,NA())</f>
        <v>18415</v>
      </c>
    </row>
    <row r="44" spans="1:12" x14ac:dyDescent="0.35">
      <c r="B44" s="26" t="s">
        <v>9</v>
      </c>
      <c r="C44" s="21">
        <v>218</v>
      </c>
      <c r="D44" s="22">
        <v>20581</v>
      </c>
      <c r="H44" t="str">
        <v>R02</v>
      </c>
      <c r="I44">
        <v>218</v>
      </c>
      <c r="J44" s="27">
        <v>20581</v>
      </c>
      <c r="K44" t="e">
        <f t="shared" ref="K44:K47" si="0">IF(H44=$K$39,I44,NA())</f>
        <v>#N/A</v>
      </c>
      <c r="L44" t="e">
        <f t="shared" ref="L44:L47" si="1">IF(H44=$K$39,J44,NA())</f>
        <v>#N/A</v>
      </c>
    </row>
    <row r="45" spans="1:12" x14ac:dyDescent="0.35">
      <c r="B45" s="26" t="s">
        <v>6</v>
      </c>
      <c r="C45" s="21">
        <v>207</v>
      </c>
      <c r="D45" s="22">
        <v>20872</v>
      </c>
      <c r="H45" t="str">
        <v>R03</v>
      </c>
      <c r="I45">
        <v>207</v>
      </c>
      <c r="J45" s="27">
        <v>20872</v>
      </c>
      <c r="K45" t="e">
        <f t="shared" si="0"/>
        <v>#N/A</v>
      </c>
      <c r="L45" t="e">
        <f t="shared" si="1"/>
        <v>#N/A</v>
      </c>
    </row>
    <row r="46" spans="1:12" x14ac:dyDescent="0.35">
      <c r="B46" s="26" t="s">
        <v>13</v>
      </c>
      <c r="C46" s="21">
        <v>186</v>
      </c>
      <c r="D46" s="22">
        <v>16651</v>
      </c>
      <c r="H46" t="str">
        <v>R04</v>
      </c>
      <c r="I46">
        <v>186</v>
      </c>
      <c r="J46" s="27">
        <v>16651</v>
      </c>
      <c r="K46" t="e">
        <f t="shared" si="0"/>
        <v>#N/A</v>
      </c>
      <c r="L46" t="e">
        <f t="shared" si="1"/>
        <v>#N/A</v>
      </c>
    </row>
    <row r="47" spans="1:12" x14ac:dyDescent="0.35">
      <c r="B47" s="26" t="s">
        <v>10</v>
      </c>
      <c r="C47" s="21">
        <v>200</v>
      </c>
      <c r="D47" s="22">
        <v>20104</v>
      </c>
      <c r="H47" t="str">
        <v>R05</v>
      </c>
      <c r="I47">
        <v>200</v>
      </c>
      <c r="J47" s="27">
        <v>20104</v>
      </c>
      <c r="K47" t="e">
        <f t="shared" si="0"/>
        <v>#N/A</v>
      </c>
      <c r="L47" t="e">
        <f t="shared" si="1"/>
        <v>#N/A</v>
      </c>
    </row>
    <row r="48" spans="1:12" x14ac:dyDescent="0.35">
      <c r="B48" s="26" t="s">
        <v>1046</v>
      </c>
      <c r="C48" s="21">
        <v>1000</v>
      </c>
      <c r="D48" s="22">
        <v>96623</v>
      </c>
    </row>
    <row r="51" spans="1:17" x14ac:dyDescent="0.35">
      <c r="H51" t="s">
        <v>1076</v>
      </c>
    </row>
    <row r="52" spans="1:17" x14ac:dyDescent="0.35">
      <c r="B52" s="25" t="s">
        <v>1045</v>
      </c>
      <c r="K52" t="s">
        <v>1081</v>
      </c>
      <c r="L52" t="str">
        <f>"%of calls Taken: " &amp; TEXT(I53,"0%")</f>
        <v>%of calls Taken: 19%</v>
      </c>
    </row>
    <row r="53" spans="1:17" x14ac:dyDescent="0.35">
      <c r="B53" s="28" t="s">
        <v>11</v>
      </c>
      <c r="H53" t="s">
        <v>1077</v>
      </c>
      <c r="I53" s="36">
        <f>A14/A4</f>
        <v>0.189</v>
      </c>
      <c r="L53" t="str">
        <f>IF(COUNTA(B53:B57)&gt;1,"","Call Rank: "&amp;I57)</f>
        <v>Call Rank: 4</v>
      </c>
    </row>
    <row r="54" spans="1:17" x14ac:dyDescent="0.35">
      <c r="H54" t="s">
        <v>1079</v>
      </c>
      <c r="I54">
        <f>_xlfn.XLOOKUP(B53,H43:H47,I43:I47)</f>
        <v>189</v>
      </c>
      <c r="L54" t="str">
        <f>IF(COUNTA(B53:B57)&gt;1,"","Amount Rank: " &amp; I58)</f>
        <v>Amount Rank: 4</v>
      </c>
    </row>
    <row r="55" spans="1:17" x14ac:dyDescent="0.35">
      <c r="H55" t="s">
        <v>1070</v>
      </c>
      <c r="I55">
        <f>_xlfn.XLOOKUP(B53,H43:H47,J43:J47)</f>
        <v>18415</v>
      </c>
    </row>
    <row r="57" spans="1:17" x14ac:dyDescent="0.35">
      <c r="H57" t="s">
        <v>1078</v>
      </c>
      <c r="I57">
        <f>_xlfn.RANK.AVG(I54,I43:I47)</f>
        <v>4</v>
      </c>
    </row>
    <row r="58" spans="1:17" x14ac:dyDescent="0.35">
      <c r="H58" t="s">
        <v>1080</v>
      </c>
      <c r="I58">
        <f>_xlfn.RANK.AVG(I55,J43:J47)</f>
        <v>4</v>
      </c>
    </row>
    <row r="62" spans="1:17" x14ac:dyDescent="0.35">
      <c r="A62" s="25" t="s">
        <v>1040</v>
      </c>
      <c r="B62" s="25" t="s">
        <v>1074</v>
      </c>
      <c r="H62" s="25" t="s">
        <v>1045</v>
      </c>
      <c r="I62" t="s">
        <v>1040</v>
      </c>
      <c r="K62" s="25" t="s">
        <v>1041</v>
      </c>
      <c r="L62" s="25" t="s">
        <v>1074</v>
      </c>
    </row>
    <row r="63" spans="1:17" x14ac:dyDescent="0.35">
      <c r="A63" s="25" t="s">
        <v>1045</v>
      </c>
      <c r="B63" t="s">
        <v>999</v>
      </c>
      <c r="C63" t="s">
        <v>998</v>
      </c>
      <c r="D63" t="s">
        <v>1046</v>
      </c>
      <c r="H63" s="26">
        <v>1</v>
      </c>
      <c r="I63" s="21">
        <v>1</v>
      </c>
      <c r="K63" s="25" t="s">
        <v>1045</v>
      </c>
      <c r="L63" t="s">
        <v>11</v>
      </c>
      <c r="M63" t="s">
        <v>9</v>
      </c>
      <c r="N63" t="s">
        <v>6</v>
      </c>
      <c r="O63" t="s">
        <v>13</v>
      </c>
      <c r="P63" t="s">
        <v>10</v>
      </c>
      <c r="Q63" t="s">
        <v>1046</v>
      </c>
    </row>
    <row r="64" spans="1:17" x14ac:dyDescent="0.35">
      <c r="A64" s="26" t="s">
        <v>1002</v>
      </c>
      <c r="B64" s="21">
        <v>144</v>
      </c>
      <c r="C64" s="21">
        <v>132</v>
      </c>
      <c r="D64" s="21">
        <v>276</v>
      </c>
      <c r="H64" s="26">
        <v>2</v>
      </c>
      <c r="I64" s="21">
        <v>9</v>
      </c>
      <c r="K64" s="26" t="s">
        <v>1002</v>
      </c>
    </row>
    <row r="65" spans="1:17" x14ac:dyDescent="0.35">
      <c r="A65" s="26" t="s">
        <v>1001</v>
      </c>
      <c r="B65" s="21">
        <v>326</v>
      </c>
      <c r="C65" s="21">
        <v>63</v>
      </c>
      <c r="D65" s="21">
        <v>389</v>
      </c>
      <c r="H65" s="26">
        <v>3</v>
      </c>
      <c r="I65" s="21">
        <v>31</v>
      </c>
      <c r="K65" s="29" t="s">
        <v>20</v>
      </c>
      <c r="L65" s="22">
        <v>891</v>
      </c>
      <c r="M65" s="22">
        <v>1332</v>
      </c>
      <c r="N65" s="22">
        <v>1282</v>
      </c>
      <c r="O65" s="22">
        <v>739</v>
      </c>
      <c r="P65" s="22">
        <v>560</v>
      </c>
      <c r="Q65" s="22">
        <v>4804</v>
      </c>
    </row>
    <row r="66" spans="1:17" x14ac:dyDescent="0.35">
      <c r="A66" s="26" t="s">
        <v>1000</v>
      </c>
      <c r="B66" s="21">
        <v>129</v>
      </c>
      <c r="C66" s="21">
        <v>206</v>
      </c>
      <c r="D66" s="21">
        <v>335</v>
      </c>
      <c r="H66" s="26">
        <v>4</v>
      </c>
      <c r="I66" s="21">
        <v>88</v>
      </c>
      <c r="K66" s="29" t="s">
        <v>12</v>
      </c>
      <c r="L66" s="22">
        <v>1991</v>
      </c>
      <c r="M66" s="22">
        <v>1886</v>
      </c>
      <c r="N66" s="22">
        <v>1206</v>
      </c>
      <c r="O66" s="22">
        <v>884</v>
      </c>
      <c r="P66" s="22">
        <v>1722</v>
      </c>
      <c r="Q66" s="22">
        <v>7689</v>
      </c>
    </row>
    <row r="67" spans="1:17" x14ac:dyDescent="0.35">
      <c r="A67" s="26" t="s">
        <v>1046</v>
      </c>
      <c r="B67" s="21">
        <v>599</v>
      </c>
      <c r="C67" s="21">
        <v>401</v>
      </c>
      <c r="D67" s="21">
        <v>1000</v>
      </c>
      <c r="H67" s="26">
        <v>5</v>
      </c>
      <c r="I67" s="21">
        <v>60</v>
      </c>
      <c r="K67" s="29" t="s">
        <v>8</v>
      </c>
      <c r="L67" s="22">
        <v>1163</v>
      </c>
      <c r="M67" s="22">
        <v>1180</v>
      </c>
      <c r="N67" s="22">
        <v>1616</v>
      </c>
      <c r="O67" s="22">
        <v>1043</v>
      </c>
      <c r="P67" s="22">
        <v>1747</v>
      </c>
      <c r="Q67" s="22">
        <v>6749</v>
      </c>
    </row>
    <row r="68" spans="1:17" x14ac:dyDescent="0.35">
      <c r="H68" s="26" t="s">
        <v>1046</v>
      </c>
      <c r="I68" s="21">
        <v>189</v>
      </c>
      <c r="K68" s="29" t="s">
        <v>16</v>
      </c>
      <c r="L68" s="22">
        <v>1438</v>
      </c>
      <c r="M68" s="22">
        <v>1616</v>
      </c>
      <c r="N68" s="22">
        <v>866</v>
      </c>
      <c r="O68" s="22">
        <v>829</v>
      </c>
      <c r="P68" s="22">
        <v>2070</v>
      </c>
      <c r="Q68" s="22">
        <v>6819</v>
      </c>
    </row>
    <row r="69" spans="1:17" x14ac:dyDescent="0.35">
      <c r="K69" s="26" t="s">
        <v>1001</v>
      </c>
    </row>
    <row r="70" spans="1:17" x14ac:dyDescent="0.35">
      <c r="K70" s="29" t="s">
        <v>24</v>
      </c>
      <c r="L70" s="22">
        <v>1233</v>
      </c>
      <c r="M70" s="22">
        <v>223</v>
      </c>
      <c r="N70" s="22">
        <v>1680</v>
      </c>
      <c r="O70" s="22">
        <v>990</v>
      </c>
      <c r="P70" s="22">
        <v>1508</v>
      </c>
      <c r="Q70" s="22">
        <v>5634</v>
      </c>
    </row>
    <row r="71" spans="1:17" x14ac:dyDescent="0.35">
      <c r="K71" s="29" t="s">
        <v>15</v>
      </c>
      <c r="L71" s="22">
        <v>1598</v>
      </c>
      <c r="M71" s="22">
        <v>1907</v>
      </c>
      <c r="N71" s="22">
        <v>869</v>
      </c>
      <c r="O71" s="22">
        <v>1426</v>
      </c>
      <c r="P71" s="22">
        <v>1416</v>
      </c>
      <c r="Q71" s="22">
        <v>7216</v>
      </c>
    </row>
    <row r="72" spans="1:17" x14ac:dyDescent="0.35">
      <c r="K72" s="29" t="s">
        <v>5</v>
      </c>
      <c r="L72" s="22">
        <v>900</v>
      </c>
      <c r="M72" s="22">
        <v>1016</v>
      </c>
      <c r="N72" s="22">
        <v>960</v>
      </c>
      <c r="O72" s="22">
        <v>940</v>
      </c>
      <c r="P72" s="22">
        <v>1193</v>
      </c>
      <c r="Q72" s="22">
        <v>5009</v>
      </c>
    </row>
    <row r="73" spans="1:17" x14ac:dyDescent="0.35">
      <c r="K73" s="29" t="s">
        <v>18</v>
      </c>
      <c r="L73" s="22">
        <v>900</v>
      </c>
      <c r="M73" s="22">
        <v>1470</v>
      </c>
      <c r="N73" s="22">
        <v>1617</v>
      </c>
      <c r="O73" s="22">
        <v>1314</v>
      </c>
      <c r="P73" s="22">
        <v>941</v>
      </c>
      <c r="Q73" s="22">
        <v>6242</v>
      </c>
    </row>
    <row r="74" spans="1:17" x14ac:dyDescent="0.35">
      <c r="K74" s="29" t="s">
        <v>14</v>
      </c>
      <c r="L74" s="22">
        <v>1255</v>
      </c>
      <c r="M74" s="22">
        <v>516</v>
      </c>
      <c r="N74" s="22">
        <v>1874</v>
      </c>
      <c r="O74" s="22">
        <v>1863</v>
      </c>
      <c r="P74" s="22">
        <v>1722</v>
      </c>
      <c r="Q74" s="22">
        <v>7230</v>
      </c>
    </row>
    <row r="75" spans="1:17" x14ac:dyDescent="0.35">
      <c r="K75" s="29" t="s">
        <v>19</v>
      </c>
      <c r="L75" s="22">
        <v>1138</v>
      </c>
      <c r="M75" s="22">
        <v>1898</v>
      </c>
      <c r="N75" s="22">
        <v>1482</v>
      </c>
      <c r="O75" s="22">
        <v>846</v>
      </c>
      <c r="P75" s="22">
        <v>1154</v>
      </c>
      <c r="Q75" s="22">
        <v>6518</v>
      </c>
    </row>
    <row r="76" spans="1:17" x14ac:dyDescent="0.35">
      <c r="K76" s="26" t="s">
        <v>1000</v>
      </c>
    </row>
    <row r="77" spans="1:17" x14ac:dyDescent="0.35">
      <c r="K77" s="29" t="s">
        <v>17</v>
      </c>
      <c r="L77" s="22">
        <v>1655</v>
      </c>
      <c r="M77" s="22">
        <v>805</v>
      </c>
      <c r="N77" s="22">
        <v>2263</v>
      </c>
      <c r="O77" s="22">
        <v>987</v>
      </c>
      <c r="P77" s="22">
        <v>1075</v>
      </c>
      <c r="Q77" s="22">
        <v>6785</v>
      </c>
    </row>
    <row r="78" spans="1:17" x14ac:dyDescent="0.35">
      <c r="K78" s="29" t="s">
        <v>23</v>
      </c>
      <c r="L78" s="22">
        <v>1104</v>
      </c>
      <c r="M78" s="22">
        <v>2280</v>
      </c>
      <c r="N78" s="22">
        <v>1445</v>
      </c>
      <c r="O78" s="22">
        <v>1722</v>
      </c>
      <c r="P78" s="22">
        <v>1196</v>
      </c>
      <c r="Q78" s="22">
        <v>7747</v>
      </c>
    </row>
    <row r="79" spans="1:17" x14ac:dyDescent="0.35">
      <c r="K79" s="29" t="s">
        <v>7</v>
      </c>
      <c r="L79" s="22">
        <v>372</v>
      </c>
      <c r="M79" s="22">
        <v>1818</v>
      </c>
      <c r="N79" s="22">
        <v>1346</v>
      </c>
      <c r="O79" s="22">
        <v>1156</v>
      </c>
      <c r="P79" s="22">
        <v>1484</v>
      </c>
      <c r="Q79" s="22">
        <v>6176</v>
      </c>
    </row>
    <row r="80" spans="1:17" x14ac:dyDescent="0.35">
      <c r="K80" s="29" t="s">
        <v>22</v>
      </c>
      <c r="L80" s="22">
        <v>1415</v>
      </c>
      <c r="M80" s="22">
        <v>1271</v>
      </c>
      <c r="N80" s="22">
        <v>1214</v>
      </c>
      <c r="O80" s="22">
        <v>1135</v>
      </c>
      <c r="P80" s="22">
        <v>1566</v>
      </c>
      <c r="Q80" s="22">
        <v>6601</v>
      </c>
    </row>
    <row r="81" spans="11:17" x14ac:dyDescent="0.35">
      <c r="K81" s="29" t="s">
        <v>21</v>
      </c>
      <c r="L81" s="22">
        <v>1362</v>
      </c>
      <c r="M81" s="22">
        <v>1363</v>
      </c>
      <c r="N81" s="22">
        <v>1152</v>
      </c>
      <c r="O81" s="22">
        <v>777</v>
      </c>
      <c r="P81" s="22">
        <v>750</v>
      </c>
      <c r="Q81" s="22">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XFD1048576"/>
  <sheetViews>
    <sheetView zoomScale="109" zoomScaleNormal="115" workbookViewId="0">
      <selection activeCell="D10" sqref="D10"/>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row r="1048576" spans="16384:16384" x14ac:dyDescent="0.35">
      <c r="XFD1048576">
        <f>ROW()</f>
        <v>1048576</v>
      </c>
    </row>
  </sheetData>
  <sheetProtection algorithmName="SHA-512" hashValue="TnODJCG6nYtXwt2/r312NWtlwuFMGyoYQIFolbvkCx5KorTb93bIrgeSMesQL30Dgh/Ph9n+j5cUQr/OZigp6w==" saltValue="BQaWr1vqSfJi530troCCCA==" spinCount="100000" sheet="1" objects="1" scenarios="1"/>
  <phoneticPr fontId="2"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Anis Ahmed</cp:lastModifiedBy>
  <cp:lastPrinted>2025-09-12T06:57:54Z</cp:lastPrinted>
  <dcterms:created xsi:type="dcterms:W3CDTF">2021-03-14T20:21:32Z</dcterms:created>
  <dcterms:modified xsi:type="dcterms:W3CDTF">2025-09-12T08:21:39Z</dcterms:modified>
</cp:coreProperties>
</file>